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ycharmProjects\rockpidinettrain\"/>
    </mc:Choice>
  </mc:AlternateContent>
  <xr:revisionPtr revIDLastSave="0" documentId="13_ncr:1_{502F0E6B-C17C-4DF6-9868-0E5FAE2C8C6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-score" sheetId="1" r:id="rId1"/>
    <sheet name="ddn F-score" sheetId="4" r:id="rId2"/>
    <sheet name="F-score-64" sheetId="3" r:id="rId3"/>
    <sheet name="PQ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4" l="1"/>
  <c r="G12" i="1"/>
  <c r="F12" i="1"/>
  <c r="D12" i="1"/>
  <c r="C12" i="1"/>
  <c r="K13" i="3"/>
  <c r="J13" i="3"/>
  <c r="I13" i="3"/>
  <c r="H13" i="3"/>
  <c r="G13" i="3"/>
  <c r="F13" i="3"/>
  <c r="D13" i="3"/>
  <c r="C13" i="3"/>
  <c r="B12" i="1"/>
  <c r="J11" i="2"/>
  <c r="I11" i="2"/>
  <c r="H11" i="2"/>
  <c r="G11" i="2"/>
  <c r="F11" i="2"/>
  <c r="E11" i="2"/>
  <c r="D11" i="2"/>
  <c r="C11" i="2"/>
</calcChain>
</file>

<file path=xl/sharedStrings.xml><?xml version="1.0" encoding="utf-8"?>
<sst xmlns="http://schemas.openxmlformats.org/spreadsheetml/2006/main" count="61" uniqueCount="31">
  <si>
    <t>PiDiNet: boundary F-score</t>
  </si>
  <si>
    <t>Пример</t>
  </si>
  <si>
    <t>BSDS500</t>
  </si>
  <si>
    <t>IMGP0146</t>
  </si>
  <si>
    <t>IMGP3286</t>
  </si>
  <si>
    <t>IMGP3353-3355</t>
  </si>
  <si>
    <t>IMGP3859</t>
  </si>
  <si>
    <t>IMGP3898</t>
  </si>
  <si>
    <t>Среднее по примерам</t>
  </si>
  <si>
    <t>Чекпоинт</t>
  </si>
  <si>
    <t>Модель th=64</t>
  </si>
  <si>
    <t>Модель th=128</t>
  </si>
  <si>
    <t>PiDiNet: panoptic quality</t>
  </si>
  <si>
    <t>th=64</t>
  </si>
  <si>
    <t>stride = 128, size=512</t>
  </si>
  <si>
    <t>stride = 512, crop= 1024</t>
  </si>
  <si>
    <t>stride=392, size=512</t>
  </si>
  <si>
    <t>1, lam=0</t>
  </si>
  <si>
    <t>1, lam=5</t>
  </si>
  <si>
    <t>2, lam=5</t>
  </si>
  <si>
    <t>2, lam=0</t>
  </si>
  <si>
    <t>0.407331272</t>
  </si>
  <si>
    <t>0.517094720</t>
  </si>
  <si>
    <t>0.620759754</t>
  </si>
  <si>
    <t>0.339951643</t>
  </si>
  <si>
    <t>0.500731744</t>
  </si>
  <si>
    <t>0.344893136</t>
  </si>
  <si>
    <t>0.499461871</t>
  </si>
  <si>
    <t>0.545147906</t>
  </si>
  <si>
    <t>0.362083740</t>
  </si>
  <si>
    <t>0.401605489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</si>
</sst>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10">
    <font>
      <sz val="11"/>
      <name val="Carlito"/>
    </font>
    <font>
      <sz val="11"/>
      <color rgb="FF202B3C"/>
      <name val="Arial"/>
    </font>
    <font>
      <b/>
      <sz val="16"/>
      <color rgb="FF202B3C"/>
      <name val="Arial"/>
    </font>
    <font>
      <b/>
      <sz val="11"/>
      <color rgb="FFFFFFFF"/>
      <name val="Arial"/>
    </font>
    <font>
      <b/>
      <sz val="11"/>
      <color rgb="FF202B3C"/>
      <name val="Arial"/>
    </font>
    <font>
      <sz val="11"/>
      <name val="Carlito"/>
    </font>
    <font>
      <b/>
      <sz val="11"/>
      <color rgb="FFFFFFFF"/>
      <name val="Arial"/>
      <family val="2"/>
      <charset val="204"/>
    </font>
    <font>
      <b/>
      <sz val="16"/>
      <color rgb="FF202B3C"/>
      <name val="Arial"/>
      <family val="2"/>
      <charset val="204"/>
    </font>
    <font>
      <sz val="11"/>
      <color rgb="FF202B3C"/>
      <name val="Arial"/>
      <family val="2"/>
      <charset val="204"/>
    </font>
    <font>
      <b/>
      <sz val="1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334B6B"/>
      </patternFill>
    </fill>
    <fill>
      <patternFill patternType="solid">
        <fgColor rgb="FFE9EEF5"/>
      </patternFill>
    </fill>
    <fill>
      <patternFill patternType="solid">
        <fgColor rgb="FFE9EEF5"/>
      </patternFill>
    </fill>
    <fill>
      <patternFill patternType="solid">
        <fgColor rgb="FF334B6B"/>
      </patternFill>
    </fill>
    <fill>
      <patternFill patternType="solid">
        <fgColor rgb="FFE9EEF5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334B6B"/>
      </bottom>
      <diagonal/>
    </border>
    <border>
      <left style="thin">
        <color rgb="FF334B6B"/>
      </left>
      <right style="thin">
        <color rgb="FF334B6B"/>
      </right>
      <top style="thin">
        <color rgb="FF334B6B"/>
      </top>
      <bottom style="thin">
        <color rgb="FF334B6B"/>
      </bottom>
      <diagonal/>
    </border>
    <border>
      <left style="thin">
        <color rgb="FF334B6B"/>
      </left>
      <right/>
      <top style="thin">
        <color rgb="FF334B6B"/>
      </top>
      <bottom style="thin">
        <color rgb="FF334B6B"/>
      </bottom>
      <diagonal/>
    </border>
    <border>
      <left/>
      <right/>
      <top style="thin">
        <color rgb="FF334B6B"/>
      </top>
      <bottom style="thin">
        <color rgb="FF334B6B"/>
      </bottom>
      <diagonal/>
    </border>
    <border>
      <left/>
      <right style="thin">
        <color rgb="FF334B6B"/>
      </right>
      <top style="thin">
        <color rgb="FF334B6B"/>
      </top>
      <bottom style="thin">
        <color rgb="FF334B6B"/>
      </bottom>
      <diagonal/>
    </border>
    <border>
      <left style="thin">
        <color rgb="FF334B6B"/>
      </left>
      <right style="thin">
        <color rgb="FF334B6B"/>
      </right>
      <top/>
      <bottom/>
      <diagonal/>
    </border>
    <border>
      <left/>
      <right/>
      <top style="thin">
        <color rgb="FF334B6B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5" fillId="0" borderId="0"/>
  </cellStyleXfs>
  <cellXfs count="75">
    <xf numFmtId="0" fontId="0" fillId="0" borderId="0" xfId="0"/>
    <xf numFmtId="0" fontId="1" fillId="0" borderId="0" xfId="1" applyFont="1"/>
    <xf numFmtId="0" fontId="1" fillId="0" borderId="1" xfId="1" applyFont="1" applyBorder="1"/>
    <xf numFmtId="0" fontId="1" fillId="0" borderId="1" xfId="0" applyNumberFormat="1" applyFont="1" applyFill="1" applyBorder="1"/>
    <xf numFmtId="0" fontId="0" fillId="0" borderId="1" xfId="0" applyNumberFormat="1" applyFont="1" applyFill="1" applyBorder="1"/>
    <xf numFmtId="0" fontId="1" fillId="0" borderId="2" xfId="1" applyFont="1" applyBorder="1"/>
    <xf numFmtId="0" fontId="0" fillId="0" borderId="2" xfId="0" applyBorder="1"/>
    <xf numFmtId="0" fontId="3" fillId="2" borderId="2" xfId="0" applyNumberFormat="1" applyFont="1" applyFill="1" applyBorder="1" applyAlignment="1">
      <alignment horizontal="center" vertical="center"/>
    </xf>
    <xf numFmtId="0" fontId="4" fillId="3" borderId="2" xfId="1" applyFont="1" applyFill="1" applyBorder="1"/>
    <xf numFmtId="0" fontId="9" fillId="7" borderId="2" xfId="0" applyNumberFormat="1" applyFont="1" applyFill="1" applyBorder="1" applyAlignment="1">
      <alignment horizontal="center" vertical="center"/>
    </xf>
    <xf numFmtId="0" fontId="2" fillId="0" borderId="3" xfId="1" applyFont="1" applyBorder="1" applyAlignment="1"/>
    <xf numFmtId="0" fontId="2" fillId="0" borderId="4" xfId="1" applyFont="1" applyBorder="1" applyAlignment="1"/>
    <xf numFmtId="0" fontId="2" fillId="0" borderId="5" xfId="1" applyFont="1" applyBorder="1" applyAlignment="1"/>
    <xf numFmtId="0" fontId="9" fillId="7" borderId="4" xfId="0" applyNumberFormat="1" applyFont="1" applyFill="1" applyBorder="1" applyAlignment="1">
      <alignment vertical="center" wrapText="1"/>
    </xf>
    <xf numFmtId="0" fontId="9" fillId="7" borderId="5" xfId="0" applyNumberFormat="1" applyFont="1" applyFill="1" applyBorder="1" applyAlignment="1">
      <alignment vertical="center" wrapText="1"/>
    </xf>
    <xf numFmtId="164" fontId="1" fillId="0" borderId="2" xfId="1" applyNumberFormat="1" applyFont="1" applyBorder="1" applyAlignment="1">
      <alignment horizontal="right" vertical="center"/>
    </xf>
    <xf numFmtId="164" fontId="4" fillId="3" borderId="2" xfId="1" applyNumberFormat="1" applyFont="1" applyFill="1" applyBorder="1" applyAlignment="1">
      <alignment horizontal="right" vertical="center"/>
    </xf>
    <xf numFmtId="0" fontId="9" fillId="7" borderId="3" xfId="0" applyNumberFormat="1" applyFont="1" applyFill="1" applyBorder="1" applyAlignment="1">
      <alignment vertical="center"/>
    </xf>
    <xf numFmtId="165" fontId="1" fillId="0" borderId="2" xfId="0" applyNumberFormat="1" applyFont="1" applyFill="1" applyBorder="1" applyAlignment="1">
      <alignment horizontal="right" vertical="center"/>
    </xf>
    <xf numFmtId="165" fontId="1" fillId="0" borderId="2" xfId="1" applyNumberFormat="1" applyFont="1" applyBorder="1" applyAlignment="1">
      <alignment horizontal="right" vertical="center"/>
    </xf>
    <xf numFmtId="165" fontId="4" fillId="6" borderId="2" xfId="0" applyNumberFormat="1" applyFont="1" applyFill="1" applyBorder="1" applyAlignment="1">
      <alignment horizontal="right" vertical="center"/>
    </xf>
    <xf numFmtId="165" fontId="4" fillId="3" borderId="2" xfId="1" applyNumberFormat="1" applyFont="1" applyFill="1" applyBorder="1" applyAlignment="1">
      <alignment horizontal="right" vertical="center"/>
    </xf>
    <xf numFmtId="165" fontId="4" fillId="4" borderId="2" xfId="0" applyNumberFormat="1" applyFont="1" applyFill="1" applyBorder="1" applyAlignment="1">
      <alignment horizontal="right" vertical="center"/>
    </xf>
    <xf numFmtId="1" fontId="0" fillId="0" borderId="2" xfId="0" applyNumberFormat="1" applyBorder="1"/>
    <xf numFmtId="166" fontId="1" fillId="0" borderId="2" xfId="1" applyNumberFormat="1" applyFont="1" applyBorder="1" applyAlignment="1">
      <alignment horizontal="right"/>
    </xf>
    <xf numFmtId="166" fontId="1" fillId="0" borderId="2" xfId="0" applyNumberFormat="1" applyFont="1" applyFill="1" applyBorder="1" applyAlignment="1">
      <alignment horizontal="right" vertical="center"/>
    </xf>
    <xf numFmtId="166" fontId="8" fillId="0" borderId="2" xfId="1" applyNumberFormat="1" applyFont="1" applyBorder="1" applyAlignment="1">
      <alignment horizontal="right"/>
    </xf>
    <xf numFmtId="166" fontId="4" fillId="3" borderId="2" xfId="1" applyNumberFormat="1" applyFont="1" applyFill="1" applyBorder="1" applyAlignment="1">
      <alignment horizontal="right"/>
    </xf>
    <xf numFmtId="166" fontId="4" fillId="6" borderId="2" xfId="0" applyNumberFormat="1" applyFont="1" applyFill="1" applyBorder="1" applyAlignment="1">
      <alignment horizontal="right" vertical="center"/>
    </xf>
    <xf numFmtId="166" fontId="4" fillId="4" borderId="2" xfId="0" applyNumberFormat="1" applyFont="1" applyFill="1" applyBorder="1" applyAlignment="1">
      <alignment horizontal="right" vertical="center"/>
    </xf>
    <xf numFmtId="0" fontId="9" fillId="0" borderId="4" xfId="0" applyFont="1" applyBorder="1" applyAlignment="1">
      <alignment vertical="center"/>
    </xf>
    <xf numFmtId="1" fontId="0" fillId="0" borderId="6" xfId="0" applyNumberFormat="1" applyFill="1" applyBorder="1"/>
    <xf numFmtId="0" fontId="0" fillId="0" borderId="5" xfId="0" applyBorder="1"/>
    <xf numFmtId="0" fontId="9" fillId="0" borderId="3" xfId="0" applyFont="1" applyBorder="1" applyAlignment="1">
      <alignment vertical="center"/>
    </xf>
    <xf numFmtId="0" fontId="9" fillId="7" borderId="4" xfId="0" applyNumberFormat="1" applyFont="1" applyFill="1" applyBorder="1" applyAlignment="1">
      <alignment vertical="center"/>
    </xf>
    <xf numFmtId="0" fontId="9" fillId="7" borderId="3" xfId="0" applyNumberFormat="1" applyFont="1" applyFill="1" applyBorder="1" applyAlignment="1">
      <alignment horizontal="center" vertical="center"/>
    </xf>
    <xf numFmtId="0" fontId="2" fillId="0" borderId="7" xfId="1" applyFont="1" applyBorder="1" applyAlignment="1"/>
    <xf numFmtId="0" fontId="9" fillId="7" borderId="8" xfId="0" applyNumberFormat="1" applyFont="1" applyFill="1" applyBorder="1" applyAlignment="1">
      <alignment vertical="center"/>
    </xf>
    <xf numFmtId="0" fontId="4" fillId="3" borderId="2" xfId="1" applyFont="1" applyFill="1" applyBorder="1" applyAlignment="1">
      <alignment wrapText="1"/>
    </xf>
    <xf numFmtId="0" fontId="9" fillId="8" borderId="4" xfId="0" applyNumberFormat="1" applyFont="1" applyFill="1" applyBorder="1" applyAlignment="1">
      <alignment vertical="center"/>
    </xf>
    <xf numFmtId="0" fontId="9" fillId="8" borderId="4" xfId="0" applyNumberFormat="1" applyFont="1" applyFill="1" applyBorder="1" applyAlignment="1">
      <alignment vertical="center" wrapText="1"/>
    </xf>
    <xf numFmtId="0" fontId="0" fillId="8" borderId="5" xfId="0" applyFill="1" applyBorder="1"/>
    <xf numFmtId="1" fontId="0" fillId="8" borderId="2" xfId="0" applyNumberFormat="1" applyFill="1" applyBorder="1"/>
    <xf numFmtId="0" fontId="9" fillId="8" borderId="3" xfId="0" applyNumberFormat="1" applyFont="1" applyFill="1" applyBorder="1" applyAlignment="1">
      <alignment horizontal="center" vertical="center"/>
    </xf>
    <xf numFmtId="2" fontId="1" fillId="8" borderId="2" xfId="1" applyNumberFormat="1" applyFont="1" applyFill="1" applyBorder="1" applyAlignment="1">
      <alignment horizontal="right" vertical="center"/>
    </xf>
    <xf numFmtId="2" fontId="0" fillId="0" borderId="0" xfId="0" applyNumberFormat="1"/>
    <xf numFmtId="2" fontId="1" fillId="8" borderId="2" xfId="0" applyNumberFormat="1" applyFont="1" applyFill="1" applyBorder="1" applyAlignment="1">
      <alignment horizontal="right" vertical="center"/>
    </xf>
    <xf numFmtId="2" fontId="4" fillId="8" borderId="2" xfId="1" applyNumberFormat="1" applyFont="1" applyFill="1" applyBorder="1" applyAlignment="1">
      <alignment horizontal="right" vertical="center"/>
    </xf>
    <xf numFmtId="2" fontId="4" fillId="8" borderId="2" xfId="0" applyNumberFormat="1" applyFont="1" applyFill="1" applyBorder="1" applyAlignment="1">
      <alignment horizontal="right" vertical="center"/>
    </xf>
    <xf numFmtId="0" fontId="0" fillId="8" borderId="3" xfId="0" applyFill="1" applyBorder="1"/>
    <xf numFmtId="2" fontId="1" fillId="8" borderId="3" xfId="1" applyNumberFormat="1" applyFont="1" applyFill="1" applyBorder="1" applyAlignment="1">
      <alignment horizontal="right" vertical="center"/>
    </xf>
    <xf numFmtId="2" fontId="4" fillId="8" borderId="3" xfId="1" applyNumberFormat="1" applyFont="1" applyFill="1" applyBorder="1" applyAlignment="1">
      <alignment horizontal="right" vertical="center"/>
    </xf>
    <xf numFmtId="1" fontId="0" fillId="8" borderId="5" xfId="0" applyNumberFormat="1" applyFill="1" applyBorder="1"/>
    <xf numFmtId="2" fontId="1" fillId="8" borderId="5" xfId="0" applyNumberFormat="1" applyFont="1" applyFill="1" applyBorder="1" applyAlignment="1">
      <alignment horizontal="right" vertical="center"/>
    </xf>
    <xf numFmtId="2" fontId="4" fillId="8" borderId="5" xfId="0" applyNumberFormat="1" applyFont="1" applyFill="1" applyBorder="1" applyAlignment="1">
      <alignment horizontal="right" vertical="center"/>
    </xf>
    <xf numFmtId="0" fontId="0" fillId="7" borderId="10" xfId="0" applyFill="1" applyBorder="1"/>
    <xf numFmtId="2" fontId="0" fillId="7" borderId="10" xfId="0" applyNumberFormat="1" applyFill="1" applyBorder="1"/>
    <xf numFmtId="2" fontId="4" fillId="7" borderId="10" xfId="1" applyNumberFormat="1" applyFont="1" applyFill="1" applyBorder="1" applyAlignment="1">
      <alignment horizontal="right" vertical="center"/>
    </xf>
    <xf numFmtId="0" fontId="0" fillId="7" borderId="9" xfId="0" applyFill="1" applyBorder="1"/>
    <xf numFmtId="1" fontId="0" fillId="8" borderId="0" xfId="0" applyNumberFormat="1" applyFill="1" applyBorder="1"/>
    <xf numFmtId="0" fontId="9" fillId="7" borderId="11" xfId="0" applyNumberFormat="1" applyFont="1" applyFill="1" applyBorder="1" applyAlignment="1">
      <alignment vertical="center"/>
    </xf>
    <xf numFmtId="0" fontId="0" fillId="0" borderId="12" xfId="0" applyBorder="1"/>
    <xf numFmtId="2" fontId="0" fillId="0" borderId="2" xfId="0" applyNumberFormat="1" applyBorder="1" applyAlignment="1">
      <alignment horizontal="right"/>
    </xf>
    <xf numFmtId="165" fontId="0" fillId="0" borderId="2" xfId="0" applyNumberFormat="1" applyBorder="1" applyAlignment="1">
      <alignment horizontal="right"/>
    </xf>
    <xf numFmtId="165" fontId="1" fillId="0" borderId="2" xfId="0" applyNumberFormat="1" applyFont="1" applyFill="1" applyBorder="1" applyAlignment="1">
      <alignment horizontal="right"/>
    </xf>
    <xf numFmtId="2" fontId="4" fillId="8" borderId="2" xfId="1" applyNumberFormat="1" applyFont="1" applyFill="1" applyBorder="1" applyAlignment="1">
      <alignment horizontal="right"/>
    </xf>
    <xf numFmtId="165" fontId="4" fillId="8" borderId="2" xfId="1" applyNumberFormat="1" applyFont="1" applyFill="1" applyBorder="1" applyAlignment="1">
      <alignment horizontal="right"/>
    </xf>
    <xf numFmtId="0" fontId="7" fillId="0" borderId="3" xfId="1" applyFont="1" applyBorder="1" applyAlignment="1">
      <alignment horizontal="center"/>
    </xf>
    <xf numFmtId="0" fontId="2" fillId="0" borderId="4" xfId="1" applyFont="1" applyBorder="1" applyAlignment="1">
      <alignment horizontal="center"/>
    </xf>
    <xf numFmtId="0" fontId="2" fillId="0" borderId="5" xfId="1" applyFont="1" applyBorder="1" applyAlignment="1">
      <alignment horizontal="center"/>
    </xf>
    <xf numFmtId="0" fontId="6" fillId="5" borderId="3" xfId="0" applyNumberFormat="1" applyFont="1" applyFill="1" applyBorder="1" applyAlignment="1">
      <alignment horizontal="center" vertical="center" wrapText="1"/>
    </xf>
    <xf numFmtId="0" fontId="6" fillId="5" borderId="4" xfId="0" applyNumberFormat="1" applyFont="1" applyFill="1" applyBorder="1" applyAlignment="1">
      <alignment horizontal="center" vertical="center" wrapText="1"/>
    </xf>
    <xf numFmtId="0" fontId="6" fillId="5" borderId="5" xfId="0" applyNumberFormat="1" applyFont="1" applyFill="1" applyBorder="1" applyAlignment="1">
      <alignment horizontal="center" vertical="center" wrapText="1"/>
    </xf>
    <xf numFmtId="0" fontId="3" fillId="5" borderId="4" xfId="0" applyNumberFormat="1" applyFont="1" applyFill="1" applyBorder="1" applyAlignment="1">
      <alignment horizontal="center" vertical="center" wrapText="1"/>
    </xf>
    <xf numFmtId="0" fontId="3" fillId="5" borderId="5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showGridLines="0" topLeftCell="A4" workbookViewId="0">
      <selection activeCell="C13" sqref="C13"/>
    </sheetView>
  </sheetViews>
  <sheetFormatPr defaultRowHeight="13.8"/>
  <cols>
    <col min="1" max="1" width="26" customWidth="1"/>
    <col min="2" max="10" width="10.69921875" customWidth="1"/>
  </cols>
  <sheetData>
    <row r="1" spans="1:15" ht="25.05" customHeight="1">
      <c r="A1" s="1"/>
      <c r="B1" s="1"/>
      <c r="C1" s="1"/>
      <c r="D1" s="1"/>
      <c r="E1" s="1"/>
    </row>
    <row r="2" spans="1:15" ht="25.05" customHeight="1">
      <c r="C2" s="1"/>
      <c r="D2" s="1"/>
      <c r="E2" s="1"/>
    </row>
    <row r="3" spans="1:15" ht="25.05" customHeight="1">
      <c r="A3" s="2"/>
      <c r="B3" s="2"/>
      <c r="C3" s="2"/>
      <c r="D3" s="2"/>
      <c r="E3" s="3"/>
      <c r="F3" s="4"/>
      <c r="G3" s="4"/>
      <c r="H3" s="4"/>
      <c r="I3" s="4"/>
    </row>
    <row r="4" spans="1:15" ht="25.05" customHeight="1">
      <c r="A4" s="5"/>
      <c r="B4" s="10" t="s">
        <v>0</v>
      </c>
      <c r="C4" s="36"/>
      <c r="D4" s="36"/>
      <c r="E4" s="11"/>
      <c r="F4" s="11"/>
      <c r="G4" s="11"/>
      <c r="H4" s="11"/>
      <c r="I4" s="12"/>
    </row>
    <row r="5" spans="1:15" ht="37.950000000000003" customHeight="1">
      <c r="A5" s="9" t="s">
        <v>1</v>
      </c>
      <c r="B5" s="35" t="s">
        <v>2</v>
      </c>
      <c r="C5" s="60" t="s">
        <v>10</v>
      </c>
      <c r="D5" s="61"/>
      <c r="E5" s="30" t="s">
        <v>11</v>
      </c>
      <c r="F5" s="30"/>
      <c r="G5" s="13"/>
      <c r="H5" s="32"/>
      <c r="I5">
        <v>192</v>
      </c>
      <c r="K5" s="33"/>
      <c r="L5" s="34"/>
      <c r="M5" s="13"/>
      <c r="N5" s="14"/>
      <c r="O5" s="17"/>
    </row>
    <row r="6" spans="1:15" ht="25.05" customHeight="1">
      <c r="A6" s="6" t="s">
        <v>9</v>
      </c>
      <c r="B6" s="6"/>
      <c r="C6" s="6">
        <v>1</v>
      </c>
      <c r="D6" s="6">
        <v>2</v>
      </c>
      <c r="E6" s="23" t="s">
        <v>18</v>
      </c>
      <c r="F6" s="23" t="s">
        <v>17</v>
      </c>
      <c r="G6" s="23" t="s">
        <v>19</v>
      </c>
      <c r="H6" s="23" t="s">
        <v>20</v>
      </c>
      <c r="I6">
        <v>1</v>
      </c>
      <c r="K6" s="23"/>
      <c r="L6" s="23"/>
      <c r="M6" s="23"/>
      <c r="N6" s="31"/>
      <c r="O6" s="31"/>
    </row>
    <row r="7" spans="1:15" ht="25.05" customHeight="1">
      <c r="A7" s="5" t="s">
        <v>3</v>
      </c>
      <c r="B7" s="15">
        <v>0.29960101248690674</v>
      </c>
      <c r="C7" s="62">
        <v>0.44368850999999998</v>
      </c>
      <c r="D7" s="62">
        <v>0.434096133</v>
      </c>
      <c r="E7" s="63"/>
      <c r="F7" s="63" t="s">
        <v>21</v>
      </c>
      <c r="G7" s="64"/>
      <c r="H7" s="19"/>
      <c r="I7" t="s">
        <v>26</v>
      </c>
      <c r="K7" s="18"/>
      <c r="L7" s="19"/>
      <c r="M7" s="18"/>
    </row>
    <row r="8" spans="1:15" ht="25.05" customHeight="1">
      <c r="A8" s="5" t="s">
        <v>4</v>
      </c>
      <c r="B8" s="15">
        <v>0.48782025625752629</v>
      </c>
      <c r="C8" s="62">
        <v>0.51994613000000001</v>
      </c>
      <c r="D8" s="62">
        <v>0.51815958399999995</v>
      </c>
      <c r="E8" s="63"/>
      <c r="F8" s="63" t="s">
        <v>22</v>
      </c>
      <c r="G8" s="64"/>
      <c r="H8" s="19"/>
      <c r="I8" t="s">
        <v>27</v>
      </c>
      <c r="K8" s="18"/>
      <c r="L8" s="19"/>
      <c r="M8" s="18"/>
    </row>
    <row r="9" spans="1:15" ht="25.05" customHeight="1">
      <c r="A9" s="5" t="s">
        <v>5</v>
      </c>
      <c r="B9" s="15">
        <v>0.52295169087459048</v>
      </c>
      <c r="C9" s="62">
        <v>0.64849654999999995</v>
      </c>
      <c r="D9" s="62">
        <v>0.642898423</v>
      </c>
      <c r="E9" s="63"/>
      <c r="F9" s="63" t="s">
        <v>23</v>
      </c>
      <c r="G9" s="64"/>
      <c r="H9" s="19"/>
      <c r="I9" t="s">
        <v>28</v>
      </c>
      <c r="K9" s="18"/>
      <c r="L9" s="19"/>
      <c r="M9" s="18"/>
    </row>
    <row r="10" spans="1:15" ht="25.05" customHeight="1">
      <c r="A10" s="5" t="s">
        <v>6</v>
      </c>
      <c r="B10" s="15">
        <v>0.36544650811281948</v>
      </c>
      <c r="C10" s="62">
        <v>0.30531786799999999</v>
      </c>
      <c r="D10" s="62">
        <v>0.31880282199999999</v>
      </c>
      <c r="E10" s="63"/>
      <c r="F10" s="63" t="s">
        <v>24</v>
      </c>
      <c r="G10" s="64"/>
      <c r="H10" s="19"/>
      <c r="I10" t="s">
        <v>29</v>
      </c>
      <c r="K10" s="18"/>
      <c r="L10" s="19"/>
      <c r="M10" s="18"/>
    </row>
    <row r="11" spans="1:15" ht="25.05" customHeight="1">
      <c r="A11" s="5" t="s">
        <v>7</v>
      </c>
      <c r="B11" s="15">
        <v>0.38352293822875039</v>
      </c>
      <c r="C11" s="62">
        <v>0.49467475300000002</v>
      </c>
      <c r="D11" s="62">
        <v>0.54570070500000001</v>
      </c>
      <c r="E11" s="63"/>
      <c r="F11" s="63" t="s">
        <v>25</v>
      </c>
      <c r="G11" s="64"/>
      <c r="H11" s="19"/>
      <c r="I11" t="s">
        <v>30</v>
      </c>
      <c r="K11" s="18"/>
      <c r="L11" s="19"/>
      <c r="M11" s="18"/>
    </row>
    <row r="12" spans="1:15" ht="25.05" customHeight="1">
      <c r="A12" s="8" t="s">
        <v>8</v>
      </c>
      <c r="B12" s="16">
        <f t="shared" ref="B12" si="0">AVERAGE(B7:B11)</f>
        <v>0.41186848119211861</v>
      </c>
      <c r="C12" s="65">
        <f>AVERAGE(C7:C11)</f>
        <v>0.48242476219999997</v>
      </c>
      <c r="D12" s="66">
        <f>AVERAGE(D7:D11)</f>
        <v>0.49193153340000001</v>
      </c>
      <c r="E12" s="66"/>
      <c r="F12" s="65" t="e">
        <f>AVERAGE(F7:F11)</f>
        <v>#DIV/0!</v>
      </c>
      <c r="G12" s="66" t="e">
        <f>AVERAGE(G7:G11)</f>
        <v>#DIV/0!</v>
      </c>
      <c r="H12" s="21">
        <v>0.49968299799999999</v>
      </c>
      <c r="K12" s="20"/>
      <c r="L12" s="21"/>
      <c r="M12" s="22"/>
      <c r="O12" s="22"/>
    </row>
    <row r="13" spans="1:15" ht="25.05" customHeight="1"/>
    <row r="14" spans="1:15" ht="25.05" customHeight="1"/>
    <row r="15" spans="1:15" ht="25.05" customHeight="1"/>
    <row r="16" spans="1:15" ht="25.05" customHeight="1"/>
  </sheetData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172B9-2564-4685-BE52-FD0A30AE3D13}">
  <dimension ref="A1:I9"/>
  <sheetViews>
    <sheetView tabSelected="1" workbookViewId="0">
      <selection activeCell="B5" sqref="B5"/>
    </sheetView>
  </sheetViews>
  <sheetFormatPr defaultRowHeight="13.8"/>
  <sheetData>
    <row r="1" spans="1:9" ht="21">
      <c r="A1" s="5"/>
      <c r="B1" s="10" t="s">
        <v>0</v>
      </c>
      <c r="C1" s="36"/>
      <c r="D1" s="36"/>
      <c r="E1" s="11"/>
      <c r="F1" s="11"/>
      <c r="G1" s="11"/>
      <c r="H1" s="11"/>
      <c r="I1" s="12"/>
    </row>
    <row r="2" spans="1:9">
      <c r="A2" s="9" t="s">
        <v>1</v>
      </c>
      <c r="C2" s="60"/>
      <c r="D2" s="61"/>
      <c r="E2" s="30"/>
      <c r="F2" s="30"/>
      <c r="G2" s="13"/>
      <c r="H2" s="32"/>
    </row>
    <row r="3" spans="1:9">
      <c r="A3" s="6" t="s">
        <v>9</v>
      </c>
      <c r="B3" s="35" t="s">
        <v>2</v>
      </c>
      <c r="C3" s="6"/>
      <c r="D3" s="6"/>
      <c r="E3" s="23"/>
      <c r="F3" s="23"/>
      <c r="G3" s="23"/>
      <c r="H3" s="23"/>
    </row>
    <row r="4" spans="1:9">
      <c r="A4" s="5" t="s">
        <v>3</v>
      </c>
      <c r="B4" s="15">
        <v>0.33862549800000002</v>
      </c>
      <c r="C4" s="62"/>
      <c r="D4" s="62"/>
      <c r="E4" s="63"/>
      <c r="F4" s="63"/>
      <c r="G4" s="64"/>
      <c r="H4" s="19"/>
    </row>
    <row r="5" spans="1:9">
      <c r="A5" s="5" t="s">
        <v>4</v>
      </c>
      <c r="B5" s="15"/>
      <c r="C5" s="62"/>
      <c r="D5" s="62"/>
      <c r="E5" s="63"/>
      <c r="F5" s="63"/>
      <c r="G5" s="64"/>
      <c r="H5" s="19"/>
    </row>
    <row r="6" spans="1:9">
      <c r="A6" s="5" t="s">
        <v>5</v>
      </c>
      <c r="B6" s="15"/>
      <c r="C6" s="62"/>
      <c r="D6" s="62"/>
      <c r="E6" s="63"/>
      <c r="F6" s="63"/>
      <c r="G6" s="64"/>
      <c r="H6" s="19"/>
    </row>
    <row r="7" spans="1:9">
      <c r="A7" s="5" t="s">
        <v>6</v>
      </c>
      <c r="B7" s="15"/>
      <c r="C7" s="62"/>
      <c r="D7" s="62"/>
      <c r="E7" s="63"/>
      <c r="F7" s="63"/>
      <c r="G7" s="64"/>
      <c r="H7" s="19"/>
    </row>
    <row r="8" spans="1:9">
      <c r="A8" s="5" t="s">
        <v>7</v>
      </c>
      <c r="B8" s="15"/>
      <c r="C8" s="62"/>
      <c r="D8" s="62"/>
      <c r="E8" s="63"/>
      <c r="F8" s="63"/>
      <c r="G8" s="64"/>
      <c r="H8" s="19"/>
    </row>
    <row r="9" spans="1:9">
      <c r="A9" s="8" t="s">
        <v>8</v>
      </c>
      <c r="B9" s="16">
        <f t="shared" ref="B9" si="0">AVERAGE(B4:B8)</f>
        <v>0.33862549800000002</v>
      </c>
      <c r="C9" s="65"/>
      <c r="D9" s="66"/>
      <c r="E9" s="66"/>
      <c r="F9" s="65"/>
      <c r="G9" s="66"/>
      <c r="H9" s="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4173D-FFFB-4613-8853-3B75CBD16295}">
  <dimension ref="B5:K13"/>
  <sheetViews>
    <sheetView topLeftCell="B4" workbookViewId="0">
      <selection activeCell="J13" sqref="J8:K13"/>
    </sheetView>
  </sheetViews>
  <sheetFormatPr defaultRowHeight="13.8"/>
  <cols>
    <col min="2" max="2" width="14.69921875" customWidth="1"/>
    <col min="3" max="3" width="11.3984375" customWidth="1"/>
    <col min="4" max="4" width="11.59765625" customWidth="1"/>
    <col min="5" max="5" width="11.09765625" customWidth="1"/>
  </cols>
  <sheetData>
    <row r="5" spans="2:11">
      <c r="B5" s="5"/>
      <c r="D5" t="s">
        <v>13</v>
      </c>
    </row>
    <row r="6" spans="2:11">
      <c r="B6" s="9" t="s">
        <v>1</v>
      </c>
      <c r="C6" s="43" t="s">
        <v>2</v>
      </c>
      <c r="D6" s="37" t="s">
        <v>16</v>
      </c>
      <c r="E6" s="58"/>
      <c r="F6" s="39" t="s">
        <v>14</v>
      </c>
      <c r="G6" s="40"/>
      <c r="H6" s="40"/>
      <c r="I6" s="41"/>
      <c r="J6" t="s">
        <v>15</v>
      </c>
    </row>
    <row r="7" spans="2:11">
      <c r="B7" s="6" t="s">
        <v>9</v>
      </c>
      <c r="C7" s="49"/>
      <c r="D7" s="55">
        <v>1</v>
      </c>
      <c r="E7" s="55">
        <v>2</v>
      </c>
      <c r="F7" s="52">
        <v>1</v>
      </c>
      <c r="G7" s="42">
        <v>2</v>
      </c>
      <c r="H7" s="42">
        <v>3</v>
      </c>
      <c r="I7" s="42">
        <v>4</v>
      </c>
      <c r="J7" s="59">
        <v>1</v>
      </c>
      <c r="K7" s="59">
        <v>2</v>
      </c>
    </row>
    <row r="8" spans="2:11">
      <c r="B8" s="5" t="s">
        <v>3</v>
      </c>
      <c r="C8" s="50">
        <v>0.29960101248690674</v>
      </c>
      <c r="D8" s="56">
        <v>0.215675798</v>
      </c>
      <c r="E8" s="56"/>
      <c r="F8" s="53">
        <v>0.440050547966295</v>
      </c>
      <c r="G8" s="46">
        <v>0.42800816831420835</v>
      </c>
      <c r="H8" s="46">
        <v>0.43520229482248823</v>
      </c>
      <c r="I8" s="44">
        <v>0.4260150357305848</v>
      </c>
      <c r="J8" s="45">
        <v>0.44368850999999998</v>
      </c>
      <c r="K8" s="45">
        <v>0.434096133</v>
      </c>
    </row>
    <row r="9" spans="2:11">
      <c r="B9" s="5" t="s">
        <v>4</v>
      </c>
      <c r="C9" s="50">
        <v>0.48782025625752629</v>
      </c>
      <c r="D9" s="56">
        <v>0.324070731</v>
      </c>
      <c r="E9" s="56"/>
      <c r="F9" s="53">
        <v>0.51360713239824829</v>
      </c>
      <c r="G9" s="46">
        <v>0.51991881116219907</v>
      </c>
      <c r="H9" s="46">
        <v>0.52217058165255636</v>
      </c>
      <c r="I9" s="44">
        <v>0.51938961532015981</v>
      </c>
      <c r="J9" s="45">
        <v>0.51994613000000001</v>
      </c>
      <c r="K9" s="45">
        <v>0.51815958399999995</v>
      </c>
    </row>
    <row r="10" spans="2:11">
      <c r="B10" s="5" t="s">
        <v>5</v>
      </c>
      <c r="C10" s="50">
        <v>0.52295169087459048</v>
      </c>
      <c r="D10" s="56">
        <v>0.397705788</v>
      </c>
      <c r="E10" s="56"/>
      <c r="F10" s="53">
        <v>0.6418624714578125</v>
      </c>
      <c r="G10" s="46">
        <v>0.63767722499275059</v>
      </c>
      <c r="H10" s="46">
        <v>0.63942517638810603</v>
      </c>
      <c r="I10" s="44">
        <v>0.62933099192598241</v>
      </c>
      <c r="J10" s="45">
        <v>0.64849654999999995</v>
      </c>
      <c r="K10" s="45">
        <v>0.642898423</v>
      </c>
    </row>
    <row r="11" spans="2:11">
      <c r="B11" s="5" t="s">
        <v>6</v>
      </c>
      <c r="C11" s="50">
        <v>0.36544650811281948</v>
      </c>
      <c r="D11" s="56">
        <v>0.184432129</v>
      </c>
      <c r="E11" s="56"/>
      <c r="F11" s="53">
        <v>0.30335457029720625</v>
      </c>
      <c r="G11" s="46">
        <v>0.31832367794635591</v>
      </c>
      <c r="H11" s="46">
        <v>0.3047488778522725</v>
      </c>
      <c r="I11" s="44">
        <v>0.31581794831892923</v>
      </c>
      <c r="J11" s="45">
        <v>0.30531786799999999</v>
      </c>
      <c r="K11" s="45">
        <v>0.31880282199999999</v>
      </c>
    </row>
    <row r="12" spans="2:11">
      <c r="B12" s="5" t="s">
        <v>7</v>
      </c>
      <c r="C12" s="50">
        <v>0.38352293822875039</v>
      </c>
      <c r="D12" s="56">
        <v>0.33107777900000002</v>
      </c>
      <c r="E12" s="56"/>
      <c r="F12" s="53">
        <v>0.55827759562725443</v>
      </c>
      <c r="G12" s="46">
        <v>0.53697189128041256</v>
      </c>
      <c r="H12" s="46">
        <v>0.55249467509894767</v>
      </c>
      <c r="I12" s="44">
        <v>0.53601411806677157</v>
      </c>
      <c r="J12" s="45">
        <v>0.49467475300000002</v>
      </c>
      <c r="K12" s="45">
        <v>0.54570070500000001</v>
      </c>
    </row>
    <row r="13" spans="2:11" ht="30" customHeight="1">
      <c r="B13" s="38" t="s">
        <v>8</v>
      </c>
      <c r="C13" s="51">
        <f t="shared" ref="C13:D13" si="0">AVERAGE(C8:C12)</f>
        <v>0.41186848119211861</v>
      </c>
      <c r="D13" s="57">
        <f t="shared" si="0"/>
        <v>0.29059244499999998</v>
      </c>
      <c r="E13" s="56"/>
      <c r="F13" s="54">
        <f t="shared" ref="F13:K13" si="1">AVERAGE(F8:F12)</f>
        <v>0.49143046354936332</v>
      </c>
      <c r="G13" s="48">
        <f t="shared" si="1"/>
        <v>0.4881799547391853</v>
      </c>
      <c r="H13" s="48">
        <f t="shared" si="1"/>
        <v>0.49080832116287415</v>
      </c>
      <c r="I13" s="47">
        <f t="shared" si="1"/>
        <v>0.48531354187248554</v>
      </c>
      <c r="J13" s="47">
        <f t="shared" si="1"/>
        <v>0.48242476219999997</v>
      </c>
      <c r="K13" s="47">
        <f t="shared" si="1"/>
        <v>0.49193153340000001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CF1A6-17CB-4F5E-8A81-EEB9AEA80637}">
  <dimension ref="B3:J11"/>
  <sheetViews>
    <sheetView workbookViewId="0">
      <selection activeCell="F18" sqref="F18"/>
    </sheetView>
  </sheetViews>
  <sheetFormatPr defaultRowHeight="13.8"/>
  <sheetData>
    <row r="3" spans="2:10" ht="21">
      <c r="B3" s="5"/>
      <c r="C3" s="67" t="s">
        <v>12</v>
      </c>
      <c r="D3" s="68"/>
      <c r="E3" s="68"/>
      <c r="F3" s="68"/>
      <c r="G3" s="68"/>
      <c r="H3" s="68"/>
      <c r="I3" s="68"/>
      <c r="J3" s="69"/>
    </row>
    <row r="4" spans="2:10">
      <c r="B4" s="7" t="s">
        <v>1</v>
      </c>
      <c r="C4" s="7" t="s">
        <v>2</v>
      </c>
      <c r="D4" s="70" t="s">
        <v>10</v>
      </c>
      <c r="E4" s="71"/>
      <c r="F4" s="71"/>
      <c r="G4" s="72"/>
      <c r="H4" s="70" t="s">
        <v>11</v>
      </c>
      <c r="I4" s="73"/>
      <c r="J4" s="74"/>
    </row>
    <row r="5" spans="2:10">
      <c r="B5" s="6" t="s">
        <v>9</v>
      </c>
      <c r="C5" s="6"/>
      <c r="D5" s="6">
        <v>1</v>
      </c>
      <c r="E5" s="6">
        <v>2</v>
      </c>
      <c r="F5" s="6">
        <v>3</v>
      </c>
      <c r="G5" s="6">
        <v>4</v>
      </c>
      <c r="H5" s="6">
        <v>1</v>
      </c>
      <c r="I5" s="6">
        <v>4</v>
      </c>
      <c r="J5" s="6">
        <v>7</v>
      </c>
    </row>
    <row r="6" spans="2:10">
      <c r="B6" s="5" t="s">
        <v>3</v>
      </c>
      <c r="C6" s="24"/>
      <c r="D6" s="25">
        <v>2.257754E-2</v>
      </c>
      <c r="E6" s="25"/>
      <c r="F6" s="25"/>
      <c r="G6" s="24"/>
      <c r="H6" s="25"/>
      <c r="I6" s="24"/>
      <c r="J6" s="24">
        <v>1.9694672999999999E-2</v>
      </c>
    </row>
    <row r="7" spans="2:10">
      <c r="B7" s="5" t="s">
        <v>4</v>
      </c>
      <c r="C7" s="24"/>
      <c r="D7" s="25">
        <v>2.6907562999999999E-2</v>
      </c>
      <c r="E7" s="25"/>
      <c r="F7" s="25"/>
      <c r="G7" s="24"/>
      <c r="H7" s="25"/>
      <c r="I7" s="24"/>
      <c r="J7" s="24">
        <v>3.1896283999999997E-2</v>
      </c>
    </row>
    <row r="8" spans="2:10">
      <c r="B8" s="5" t="s">
        <v>5</v>
      </c>
      <c r="C8" s="26"/>
      <c r="D8" s="25">
        <v>9.9164793000000001E-2</v>
      </c>
      <c r="E8" s="25"/>
      <c r="F8" s="25"/>
      <c r="G8" s="24"/>
      <c r="H8" s="25"/>
      <c r="I8" s="24"/>
      <c r="J8" s="26">
        <v>8.6711712999999996E-2</v>
      </c>
    </row>
    <row r="9" spans="2:10">
      <c r="B9" s="5" t="s">
        <v>6</v>
      </c>
      <c r="C9" s="24"/>
      <c r="D9" s="25">
        <v>1.1388580000000001E-2</v>
      </c>
      <c r="E9" s="25"/>
      <c r="F9" s="25"/>
      <c r="G9" s="24"/>
      <c r="H9" s="25"/>
      <c r="I9" s="24"/>
      <c r="J9" s="24">
        <v>1.2759491E-2</v>
      </c>
    </row>
    <row r="10" spans="2:10">
      <c r="B10" s="5" t="s">
        <v>7</v>
      </c>
      <c r="C10" s="26"/>
      <c r="D10" s="25">
        <v>6.2287206999999997E-2</v>
      </c>
      <c r="E10" s="25"/>
      <c r="F10" s="25"/>
      <c r="G10" s="24"/>
      <c r="H10" s="25"/>
      <c r="I10" s="24"/>
      <c r="J10" s="26">
        <v>4.0309307000000003E-2</v>
      </c>
    </row>
    <row r="11" spans="2:10">
      <c r="B11" s="8" t="s">
        <v>8</v>
      </c>
      <c r="C11" s="27" t="e">
        <f t="shared" ref="C11:J11" si="0">AVERAGE(C6:C10)</f>
        <v>#DIV/0!</v>
      </c>
      <c r="D11" s="28">
        <f t="shared" si="0"/>
        <v>4.4465136599999996E-2</v>
      </c>
      <c r="E11" s="28" t="e">
        <f t="shared" si="0"/>
        <v>#DIV/0!</v>
      </c>
      <c r="F11" s="28" t="e">
        <f t="shared" si="0"/>
        <v>#DIV/0!</v>
      </c>
      <c r="G11" s="27" t="e">
        <f t="shared" si="0"/>
        <v>#DIV/0!</v>
      </c>
      <c r="H11" s="28" t="e">
        <f t="shared" si="0"/>
        <v>#DIV/0!</v>
      </c>
      <c r="I11" s="27" t="e">
        <f t="shared" si="0"/>
        <v>#DIV/0!</v>
      </c>
      <c r="J11" s="29">
        <f t="shared" si="0"/>
        <v>3.8274293599999995E-2</v>
      </c>
    </row>
  </sheetData>
  <mergeCells count="3">
    <mergeCell ref="C3:J3"/>
    <mergeCell ref="D4:G4"/>
    <mergeCell ref="H4:J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F-score</vt:lpstr>
      <vt:lpstr>ddn F-score</vt:lpstr>
      <vt:lpstr>F-score-64</vt:lpstr>
      <vt:lpstr>PQ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Koladik</cp:lastModifiedBy>
  <dcterms:modified xsi:type="dcterms:W3CDTF">2026-09-09T10:20:28Z</dcterms:modified>
</cp:coreProperties>
</file>