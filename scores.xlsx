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charmProjects\rockpidinettrain\"/>
    </mc:Choice>
  </mc:AlternateContent>
  <xr:revisionPtr revIDLastSave="0" documentId="13_ncr:1_{C12272D3-F295-40BB-8E7F-1DEC07B02BF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-score" sheetId="1" r:id="rId1"/>
    <sheet name="ddn F-score" sheetId="4" r:id="rId2"/>
    <sheet name="pidiet" sheetId="6" r:id="rId3"/>
    <sheet name="rcf" sheetId="5" r:id="rId4"/>
    <sheet name="ddn" sheetId="7" r:id="rId5"/>
    <sheet name="F-score-64" sheetId="3" r:id="rId6"/>
    <sheet name="PQ" sheetId="2" r:id="rId7"/>
    <sheet name="Лист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7" l="1"/>
  <c r="I25" i="7"/>
  <c r="M39" i="8"/>
  <c r="L39" i="8"/>
  <c r="F15" i="8"/>
  <c r="D15" i="8"/>
  <c r="H39" i="8"/>
  <c r="K39" i="8"/>
  <c r="I39" i="8"/>
  <c r="D39" i="8"/>
  <c r="E39" i="8"/>
  <c r="F39" i="8"/>
  <c r="G39" i="8"/>
  <c r="J10" i="6"/>
  <c r="K10" i="6"/>
  <c r="K25" i="6"/>
  <c r="G22" i="5"/>
  <c r="F22" i="5"/>
  <c r="E22" i="5"/>
  <c r="J25" i="6"/>
  <c r="I25" i="6"/>
  <c r="H10" i="6"/>
  <c r="H25" i="6"/>
  <c r="G25" i="7"/>
  <c r="G10" i="7"/>
  <c r="F25" i="7"/>
  <c r="E25" i="7"/>
  <c r="D25" i="7"/>
  <c r="C25" i="7"/>
  <c r="B25" i="7"/>
  <c r="F10" i="7"/>
  <c r="E10" i="7"/>
  <c r="D10" i="7"/>
  <c r="C10" i="7"/>
  <c r="B10" i="7"/>
  <c r="C22" i="5"/>
  <c r="D22" i="5"/>
  <c r="F10" i="6"/>
  <c r="G10" i="6"/>
  <c r="G25" i="6"/>
  <c r="F25" i="6"/>
  <c r="E10" i="6"/>
  <c r="E25" i="6"/>
  <c r="D10" i="6"/>
  <c r="D25" i="6"/>
  <c r="C25" i="6"/>
  <c r="C10" i="6"/>
  <c r="B10" i="6"/>
  <c r="B25" i="6"/>
  <c r="B22" i="5"/>
  <c r="B10" i="5"/>
  <c r="I12" i="1"/>
  <c r="B9" i="4"/>
  <c r="G12" i="1"/>
  <c r="F12" i="1"/>
  <c r="D12" i="1"/>
  <c r="C12" i="1"/>
  <c r="K13" i="3"/>
  <c r="J13" i="3"/>
  <c r="I13" i="3"/>
  <c r="H13" i="3"/>
  <c r="G13" i="3"/>
  <c r="F13" i="3"/>
  <c r="D13" i="3"/>
  <c r="C13" i="3"/>
  <c r="B12" i="1"/>
  <c r="J11" i="2"/>
  <c r="I11" i="2"/>
  <c r="H11" i="2"/>
  <c r="G11" i="2"/>
  <c r="F11" i="2"/>
  <c r="E11" i="2"/>
  <c r="D11" i="2"/>
  <c r="C11" i="2"/>
</calcChain>
</file>

<file path=xl/sharedStrings.xml><?xml version="1.0" encoding="utf-8"?>
<sst xmlns="http://schemas.openxmlformats.org/spreadsheetml/2006/main" count="280" uniqueCount="86">
  <si>
    <t>PiDiNet: boundary F-score</t>
  </si>
  <si>
    <t>Пример</t>
  </si>
  <si>
    <t>BSDS500</t>
  </si>
  <si>
    <t>IMGP0146</t>
  </si>
  <si>
    <t>IMGP3286</t>
  </si>
  <si>
    <t>IMGP3353-3355</t>
  </si>
  <si>
    <t>IMGP3859</t>
  </si>
  <si>
    <t>IMGP3898</t>
  </si>
  <si>
    <t>Среднее по примерам</t>
  </si>
  <si>
    <t>Чекпоинт</t>
  </si>
  <si>
    <t>Модель th=64</t>
  </si>
  <si>
    <t>Модель th=128</t>
  </si>
  <si>
    <t>PiDiNet: panoptic quality</t>
  </si>
  <si>
    <t>th=64</t>
  </si>
  <si>
    <t>stride = 128, size=512</t>
  </si>
  <si>
    <t>stride = 512, crop= 1024</t>
  </si>
  <si>
    <t>stride=392, size=512</t>
  </si>
  <si>
    <t>1, lam=0</t>
  </si>
  <si>
    <t>1, lam=5</t>
  </si>
  <si>
    <t>2, lam=5</t>
  </si>
  <si>
    <t>2, lam=0</t>
  </si>
  <si>
    <t>ddn: boundary F-score</t>
  </si>
  <si>
    <t>64_1</t>
  </si>
  <si>
    <t>64_2</t>
  </si>
  <si>
    <t>64_4</t>
  </si>
  <si>
    <t>pq</t>
  </si>
  <si>
    <t>0.02</t>
  </si>
  <si>
    <t>0.09</t>
  </si>
  <si>
    <t>0.03</t>
  </si>
  <si>
    <t>0.01</t>
  </si>
  <si>
    <t>0.04</t>
  </si>
  <si>
    <t>0.018</t>
  </si>
  <si>
    <t>0.08</t>
  </si>
  <si>
    <t>0.12</t>
  </si>
  <si>
    <t>0.06</t>
  </si>
  <si>
    <t>rcf: boundary F-score</t>
  </si>
  <si>
    <t>rcf: PQ</t>
  </si>
  <si>
    <t>lam50, th64</t>
  </si>
  <si>
    <t>Парамеры</t>
  </si>
  <si>
    <t>lam0, th64</t>
  </si>
  <si>
    <t>pidiet: PQ</t>
  </si>
  <si>
    <t>pidinet: boundary F-score</t>
  </si>
  <si>
    <t>25, 64</t>
  </si>
  <si>
    <t>25, 32</t>
  </si>
  <si>
    <t>50, 32</t>
  </si>
  <si>
    <t>0, 64</t>
  </si>
  <si>
    <t>Среднее</t>
  </si>
  <si>
    <t>50, 0</t>
  </si>
  <si>
    <t>50, 16</t>
  </si>
  <si>
    <t>BSDS501</t>
  </si>
  <si>
    <t>BSDS502</t>
  </si>
  <si>
    <t>BSDS503</t>
  </si>
  <si>
    <t>BSDS504</t>
  </si>
  <si>
    <t>10, 32</t>
  </si>
  <si>
    <t>ddn: PQ</t>
  </si>
  <si>
    <t>rcf-&gt;pidi</t>
  </si>
  <si>
    <t>25, 16</t>
  </si>
  <si>
    <t>75, 16</t>
  </si>
  <si>
    <t>100, 16</t>
  </si>
  <si>
    <t>rcf-&gt;rcf</t>
  </si>
  <si>
    <t>50, 64</t>
  </si>
  <si>
    <t>125, 16</t>
  </si>
  <si>
    <t>Целевой критерий PQ</t>
  </si>
  <si>
    <t>Архетикура</t>
  </si>
  <si>
    <t>PiDiNet</t>
  </si>
  <si>
    <t>RCF</t>
  </si>
  <si>
    <t>DDN</t>
  </si>
  <si>
    <t>Модель</t>
  </si>
  <si>
    <t>Selftrain</t>
  </si>
  <si>
    <t>Оптимум λ, h</t>
  </si>
  <si>
    <t>Метрика</t>
  </si>
  <si>
    <t>F1</t>
  </si>
  <si>
    <t>PQ</t>
  </si>
  <si>
    <t>Целевой критерий F1</t>
  </si>
  <si>
    <t>&lt;0,01</t>
  </si>
  <si>
    <t>rcf-&gt;ddn</t>
  </si>
  <si>
    <t>0.3150618038659892</t>
  </si>
  <si>
    <t>0.42057077906039075</t>
  </si>
  <si>
    <t>0.5517273839342048</t>
  </si>
  <si>
    <t>0.29814905013969695</t>
  </si>
  <si>
    <t>0.45074526852257135</t>
  </si>
  <si>
    <t>0.05378677506886571</t>
  </si>
  <si>
    <t>0.08014287311752553</t>
  </si>
  <si>
    <t>0.1696770404988994</t>
  </si>
  <si>
    <t>0.03809120577179598</t>
  </si>
  <si>
    <t>0.08825843163652212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</si>
</sst>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"/>
  </numFmts>
  <fonts count="12">
    <font>
      <sz val="11"/>
      <name val="Carlito"/>
    </font>
    <font>
      <sz val="11"/>
      <color rgb="FF202B3C"/>
      <name val="Arial"/>
    </font>
    <font>
      <b/>
      <sz val="16"/>
      <color rgb="FF202B3C"/>
      <name val="Arial"/>
    </font>
    <font>
      <b/>
      <sz val="11"/>
      <color rgb="FFFFFFFF"/>
      <name val="Arial"/>
    </font>
    <font>
      <b/>
      <sz val="11"/>
      <color rgb="FF202B3C"/>
      <name val="Arial"/>
    </font>
    <font>
      <sz val="11"/>
      <name val="Carlito"/>
    </font>
    <font>
      <b/>
      <sz val="11"/>
      <color rgb="FFFFFFFF"/>
      <name val="Arial"/>
      <family val="2"/>
      <charset val="204"/>
    </font>
    <font>
      <b/>
      <sz val="16"/>
      <color rgb="FF202B3C"/>
      <name val="Arial"/>
      <family val="2"/>
      <charset val="204"/>
    </font>
    <font>
      <sz val="11"/>
      <color rgb="FF202B3C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rgb="FF202B3C"/>
      <name val="Arial"/>
      <family val="2"/>
      <charset val="204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334B6B"/>
      </patternFill>
    </fill>
    <fill>
      <patternFill patternType="solid">
        <fgColor rgb="FFE9EEF5"/>
      </patternFill>
    </fill>
    <fill>
      <patternFill patternType="solid">
        <fgColor rgb="FFE9EEF5"/>
      </patternFill>
    </fill>
    <fill>
      <patternFill patternType="solid">
        <fgColor rgb="FF334B6B"/>
      </patternFill>
    </fill>
    <fill>
      <patternFill patternType="solid">
        <fgColor rgb="FFE9EEF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334B6B"/>
      </bottom>
      <diagonal/>
    </border>
    <border>
      <left style="thin">
        <color rgb="FF334B6B"/>
      </left>
      <right style="thin">
        <color rgb="FF334B6B"/>
      </right>
      <top style="thin">
        <color rgb="FF334B6B"/>
      </top>
      <bottom style="thin">
        <color rgb="FF334B6B"/>
      </bottom>
      <diagonal/>
    </border>
    <border>
      <left style="thin">
        <color rgb="FF334B6B"/>
      </left>
      <right/>
      <top style="thin">
        <color rgb="FF334B6B"/>
      </top>
      <bottom style="thin">
        <color rgb="FF334B6B"/>
      </bottom>
      <diagonal/>
    </border>
    <border>
      <left/>
      <right/>
      <top style="thin">
        <color rgb="FF334B6B"/>
      </top>
      <bottom style="thin">
        <color rgb="FF334B6B"/>
      </bottom>
      <diagonal/>
    </border>
    <border>
      <left/>
      <right style="thin">
        <color rgb="FF334B6B"/>
      </right>
      <top style="thin">
        <color rgb="FF334B6B"/>
      </top>
      <bottom style="thin">
        <color rgb="FF334B6B"/>
      </bottom>
      <diagonal/>
    </border>
    <border>
      <left style="thin">
        <color rgb="FF334B6B"/>
      </left>
      <right style="thin">
        <color rgb="FF334B6B"/>
      </right>
      <top/>
      <bottom/>
      <diagonal/>
    </border>
    <border>
      <left/>
      <right/>
      <top style="thin">
        <color rgb="FF334B6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34B6B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94">
    <xf numFmtId="0" fontId="0" fillId="0" borderId="0" xfId="0"/>
    <xf numFmtId="0" fontId="1" fillId="0" borderId="0" xfId="1" applyFont="1"/>
    <xf numFmtId="0" fontId="1" fillId="0" borderId="1" xfId="1" applyFont="1" applyBorder="1"/>
    <xf numFmtId="0" fontId="1" fillId="0" borderId="1" xfId="0" applyNumberFormat="1" applyFont="1" applyFill="1" applyBorder="1"/>
    <xf numFmtId="0" fontId="0" fillId="0" borderId="1" xfId="0" applyNumberFormat="1" applyFont="1" applyFill="1" applyBorder="1"/>
    <xf numFmtId="0" fontId="1" fillId="0" borderId="2" xfId="1" applyFont="1" applyBorder="1"/>
    <xf numFmtId="0" fontId="0" fillId="0" borderId="2" xfId="0" applyBorder="1"/>
    <xf numFmtId="0" fontId="3" fillId="2" borderId="2" xfId="0" applyNumberFormat="1" applyFont="1" applyFill="1" applyBorder="1" applyAlignment="1">
      <alignment horizontal="center" vertical="center"/>
    </xf>
    <xf numFmtId="0" fontId="4" fillId="3" borderId="2" xfId="1" applyFont="1" applyFill="1" applyBorder="1"/>
    <xf numFmtId="0" fontId="9" fillId="7" borderId="2" xfId="0" applyNumberFormat="1" applyFont="1" applyFill="1" applyBorder="1" applyAlignment="1">
      <alignment horizontal="center" vertical="center"/>
    </xf>
    <xf numFmtId="0" fontId="2" fillId="0" borderId="3" xfId="1" applyFont="1" applyBorder="1" applyAlignment="1"/>
    <xf numFmtId="0" fontId="2" fillId="0" borderId="4" xfId="1" applyFont="1" applyBorder="1" applyAlignment="1"/>
    <xf numFmtId="0" fontId="2" fillId="0" borderId="5" xfId="1" applyFont="1" applyBorder="1" applyAlignment="1"/>
    <xf numFmtId="0" fontId="9" fillId="7" borderId="4" xfId="0" applyNumberFormat="1" applyFont="1" applyFill="1" applyBorder="1" applyAlignment="1">
      <alignment vertical="center" wrapText="1"/>
    </xf>
    <xf numFmtId="0" fontId="9" fillId="7" borderId="5" xfId="0" applyNumberFormat="1" applyFont="1" applyFill="1" applyBorder="1" applyAlignment="1">
      <alignment vertical="center" wrapText="1"/>
    </xf>
    <xf numFmtId="164" fontId="1" fillId="0" borderId="2" xfId="1" applyNumberFormat="1" applyFont="1" applyBorder="1" applyAlignment="1">
      <alignment horizontal="right" vertical="center"/>
    </xf>
    <xf numFmtId="164" fontId="4" fillId="3" borderId="2" xfId="1" applyNumberFormat="1" applyFont="1" applyFill="1" applyBorder="1" applyAlignment="1">
      <alignment horizontal="right" vertical="center"/>
    </xf>
    <xf numFmtId="0" fontId="9" fillId="7" borderId="3" xfId="0" applyNumberFormat="1" applyFont="1" applyFill="1" applyBorder="1" applyAlignment="1">
      <alignment vertical="center"/>
    </xf>
    <xf numFmtId="165" fontId="1" fillId="0" borderId="2" xfId="0" applyNumberFormat="1" applyFont="1" applyFill="1" applyBorder="1" applyAlignment="1">
      <alignment horizontal="right" vertical="center"/>
    </xf>
    <xf numFmtId="165" fontId="1" fillId="0" borderId="2" xfId="1" applyNumberFormat="1" applyFont="1" applyBorder="1" applyAlignment="1">
      <alignment horizontal="right" vertical="center"/>
    </xf>
    <xf numFmtId="165" fontId="4" fillId="6" borderId="2" xfId="0" applyNumberFormat="1" applyFont="1" applyFill="1" applyBorder="1" applyAlignment="1">
      <alignment horizontal="right" vertical="center"/>
    </xf>
    <xf numFmtId="165" fontId="4" fillId="3" borderId="2" xfId="1" applyNumberFormat="1" applyFont="1" applyFill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1" fontId="0" fillId="0" borderId="2" xfId="0" applyNumberFormat="1" applyBorder="1"/>
    <xf numFmtId="166" fontId="1" fillId="0" borderId="2" xfId="1" applyNumberFormat="1" applyFont="1" applyBorder="1" applyAlignment="1">
      <alignment horizontal="right"/>
    </xf>
    <xf numFmtId="166" fontId="1" fillId="0" borderId="2" xfId="0" applyNumberFormat="1" applyFont="1" applyFill="1" applyBorder="1" applyAlignment="1">
      <alignment horizontal="right" vertical="center"/>
    </xf>
    <xf numFmtId="166" fontId="8" fillId="0" borderId="2" xfId="1" applyNumberFormat="1" applyFont="1" applyBorder="1" applyAlignment="1">
      <alignment horizontal="right"/>
    </xf>
    <xf numFmtId="166" fontId="4" fillId="3" borderId="2" xfId="1" applyNumberFormat="1" applyFont="1" applyFill="1" applyBorder="1" applyAlignment="1">
      <alignment horizontal="right"/>
    </xf>
    <xf numFmtId="166" fontId="4" fillId="6" borderId="2" xfId="0" applyNumberFormat="1" applyFont="1" applyFill="1" applyBorder="1" applyAlignment="1">
      <alignment horizontal="right" vertical="center"/>
    </xf>
    <xf numFmtId="166" fontId="4" fillId="4" borderId="2" xfId="0" applyNumberFormat="1" applyFont="1" applyFill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1" fontId="0" fillId="0" borderId="6" xfId="0" applyNumberFormat="1" applyFill="1" applyBorder="1"/>
    <xf numFmtId="0" fontId="0" fillId="0" borderId="5" xfId="0" applyBorder="1"/>
    <xf numFmtId="0" fontId="9" fillId="0" borderId="3" xfId="0" applyFont="1" applyBorder="1" applyAlignment="1">
      <alignment vertical="center"/>
    </xf>
    <xf numFmtId="0" fontId="9" fillId="7" borderId="4" xfId="0" applyNumberFormat="1" applyFont="1" applyFill="1" applyBorder="1" applyAlignment="1">
      <alignment vertical="center"/>
    </xf>
    <xf numFmtId="0" fontId="9" fillId="7" borderId="3" xfId="0" applyNumberFormat="1" applyFont="1" applyFill="1" applyBorder="1" applyAlignment="1">
      <alignment horizontal="center" vertical="center"/>
    </xf>
    <xf numFmtId="0" fontId="2" fillId="0" borderId="7" xfId="1" applyFont="1" applyBorder="1" applyAlignment="1"/>
    <xf numFmtId="0" fontId="9" fillId="7" borderId="8" xfId="0" applyNumberFormat="1" applyFont="1" applyFill="1" applyBorder="1" applyAlignment="1">
      <alignment vertical="center"/>
    </xf>
    <xf numFmtId="0" fontId="4" fillId="3" borderId="2" xfId="1" applyFont="1" applyFill="1" applyBorder="1" applyAlignment="1">
      <alignment wrapText="1"/>
    </xf>
    <xf numFmtId="0" fontId="9" fillId="8" borderId="4" xfId="0" applyNumberFormat="1" applyFont="1" applyFill="1" applyBorder="1" applyAlignment="1">
      <alignment vertical="center"/>
    </xf>
    <xf numFmtId="0" fontId="9" fillId="8" borderId="4" xfId="0" applyNumberFormat="1" applyFont="1" applyFill="1" applyBorder="1" applyAlignment="1">
      <alignment vertical="center" wrapText="1"/>
    </xf>
    <xf numFmtId="0" fontId="0" fillId="8" borderId="5" xfId="0" applyFill="1" applyBorder="1"/>
    <xf numFmtId="1" fontId="0" fillId="8" borderId="2" xfId="0" applyNumberFormat="1" applyFill="1" applyBorder="1"/>
    <xf numFmtId="0" fontId="9" fillId="8" borderId="3" xfId="0" applyNumberFormat="1" applyFont="1" applyFill="1" applyBorder="1" applyAlignment="1">
      <alignment horizontal="center" vertical="center"/>
    </xf>
    <xf numFmtId="2" fontId="1" fillId="8" borderId="2" xfId="1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8" borderId="2" xfId="0" applyNumberFormat="1" applyFont="1" applyFill="1" applyBorder="1" applyAlignment="1">
      <alignment horizontal="right" vertical="center"/>
    </xf>
    <xf numFmtId="2" fontId="4" fillId="8" borderId="2" xfId="1" applyNumberFormat="1" applyFont="1" applyFill="1" applyBorder="1" applyAlignment="1">
      <alignment horizontal="right" vertical="center"/>
    </xf>
    <xf numFmtId="2" fontId="4" fillId="8" borderId="2" xfId="0" applyNumberFormat="1" applyFont="1" applyFill="1" applyBorder="1" applyAlignment="1">
      <alignment horizontal="right" vertical="center"/>
    </xf>
    <xf numFmtId="0" fontId="0" fillId="8" borderId="3" xfId="0" applyFill="1" applyBorder="1"/>
    <xf numFmtId="2" fontId="1" fillId="8" borderId="3" xfId="1" applyNumberFormat="1" applyFont="1" applyFill="1" applyBorder="1" applyAlignment="1">
      <alignment horizontal="right" vertical="center"/>
    </xf>
    <xf numFmtId="2" fontId="4" fillId="8" borderId="3" xfId="1" applyNumberFormat="1" applyFont="1" applyFill="1" applyBorder="1" applyAlignment="1">
      <alignment horizontal="right" vertical="center"/>
    </xf>
    <xf numFmtId="1" fontId="0" fillId="8" borderId="5" xfId="0" applyNumberFormat="1" applyFill="1" applyBorder="1"/>
    <xf numFmtId="2" fontId="1" fillId="8" borderId="5" xfId="0" applyNumberFormat="1" applyFont="1" applyFill="1" applyBorder="1" applyAlignment="1">
      <alignment horizontal="right" vertical="center"/>
    </xf>
    <xf numFmtId="2" fontId="4" fillId="8" borderId="5" xfId="0" applyNumberFormat="1" applyFont="1" applyFill="1" applyBorder="1" applyAlignment="1">
      <alignment horizontal="right" vertical="center"/>
    </xf>
    <xf numFmtId="0" fontId="0" fillId="7" borderId="10" xfId="0" applyFill="1" applyBorder="1"/>
    <xf numFmtId="2" fontId="0" fillId="7" borderId="10" xfId="0" applyNumberFormat="1" applyFill="1" applyBorder="1"/>
    <xf numFmtId="2" fontId="4" fillId="7" borderId="10" xfId="1" applyNumberFormat="1" applyFont="1" applyFill="1" applyBorder="1" applyAlignment="1">
      <alignment horizontal="right" vertical="center"/>
    </xf>
    <xf numFmtId="0" fontId="0" fillId="7" borderId="9" xfId="0" applyFill="1" applyBorder="1"/>
    <xf numFmtId="1" fontId="0" fillId="8" borderId="0" xfId="0" applyNumberFormat="1" applyFill="1" applyBorder="1"/>
    <xf numFmtId="0" fontId="9" fillId="7" borderId="11" xfId="0" applyNumberFormat="1" applyFont="1" applyFill="1" applyBorder="1" applyAlignment="1">
      <alignment vertical="center"/>
    </xf>
    <xf numFmtId="0" fontId="0" fillId="0" borderId="12" xfId="0" applyBorder="1"/>
    <xf numFmtId="2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5" fontId="1" fillId="0" borderId="2" xfId="0" applyNumberFormat="1" applyFont="1" applyFill="1" applyBorder="1" applyAlignment="1">
      <alignment horizontal="right"/>
    </xf>
    <xf numFmtId="2" fontId="4" fillId="8" borderId="2" xfId="1" applyNumberFormat="1" applyFont="1" applyFill="1" applyBorder="1" applyAlignment="1">
      <alignment horizontal="right"/>
    </xf>
    <xf numFmtId="165" fontId="4" fillId="8" borderId="2" xfId="1" applyNumberFormat="1" applyFont="1" applyFill="1" applyBorder="1" applyAlignment="1">
      <alignment horizontal="right"/>
    </xf>
    <xf numFmtId="0" fontId="7" fillId="0" borderId="3" xfId="1" applyFont="1" applyBorder="1" applyAlignment="1"/>
    <xf numFmtId="2" fontId="1" fillId="0" borderId="2" xfId="1" applyNumberFormat="1" applyFont="1" applyBorder="1" applyAlignment="1">
      <alignment horizontal="right" vertical="center"/>
    </xf>
    <xf numFmtId="2" fontId="4" fillId="3" borderId="2" xfId="1" applyNumberFormat="1" applyFont="1" applyFill="1" applyBorder="1" applyAlignment="1">
      <alignment horizontal="right" vertical="center"/>
    </xf>
    <xf numFmtId="165" fontId="0" fillId="0" borderId="0" xfId="0" applyNumberFormat="1"/>
    <xf numFmtId="49" fontId="10" fillId="3" borderId="2" xfId="1" applyNumberFormat="1" applyFont="1" applyFill="1" applyBorder="1" applyAlignment="1">
      <alignment wrapText="1"/>
    </xf>
    <xf numFmtId="165" fontId="8" fillId="0" borderId="2" xfId="1" applyNumberFormat="1" applyFont="1" applyBorder="1" applyAlignment="1">
      <alignment horizontal="right" vertical="center"/>
    </xf>
    <xf numFmtId="0" fontId="7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6" fillId="5" borderId="3" xfId="0" applyNumberFormat="1" applyFont="1" applyFill="1" applyBorder="1" applyAlignment="1">
      <alignment horizontal="center" vertical="center" wrapText="1"/>
    </xf>
    <xf numFmtId="0" fontId="6" fillId="5" borderId="4" xfId="0" applyNumberFormat="1" applyFont="1" applyFill="1" applyBorder="1" applyAlignment="1">
      <alignment horizontal="center" vertical="center" wrapText="1"/>
    </xf>
    <xf numFmtId="0" fontId="6" fillId="5" borderId="5" xfId="0" applyNumberFormat="1" applyFont="1" applyFill="1" applyBorder="1" applyAlignment="1">
      <alignment horizontal="center" vertical="center" wrapText="1"/>
    </xf>
    <xf numFmtId="0" fontId="3" fillId="5" borderId="4" xfId="0" applyNumberFormat="1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0" fontId="9" fillId="7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/>
    <xf numFmtId="2" fontId="0" fillId="0" borderId="10" xfId="0" applyNumberFormat="1" applyBorder="1"/>
    <xf numFmtId="2" fontId="1" fillId="0" borderId="10" xfId="1" applyNumberFormat="1" applyFont="1" applyBorder="1" applyAlignment="1">
      <alignment horizontal="right" vertical="center"/>
    </xf>
    <xf numFmtId="165" fontId="1" fillId="0" borderId="10" xfId="1" applyNumberFormat="1" applyFont="1" applyBorder="1" applyAlignment="1">
      <alignment horizontal="right" vertical="center"/>
    </xf>
    <xf numFmtId="2" fontId="0" fillId="0" borderId="10" xfId="0" applyNumberFormat="1" applyFill="1" applyBorder="1"/>
    <xf numFmtId="165" fontId="4" fillId="3" borderId="10" xfId="1" applyNumberFormat="1" applyFont="1" applyFill="1" applyBorder="1" applyAlignment="1">
      <alignment horizontal="right" vertical="center"/>
    </xf>
    <xf numFmtId="165" fontId="0" fillId="0" borderId="10" xfId="0" applyNumberFormat="1" applyBorder="1"/>
    <xf numFmtId="0" fontId="9" fillId="7" borderId="0" xfId="0" applyNumberFormat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workbookViewId="0">
      <selection activeCell="D7" sqref="D7:D12"/>
    </sheetView>
  </sheetViews>
  <sheetFormatPr defaultRowHeight="13.8"/>
  <cols>
    <col min="1" max="1" width="26" customWidth="1"/>
    <col min="2" max="10" width="10.69921875" customWidth="1"/>
  </cols>
  <sheetData>
    <row r="1" spans="1:15" ht="25.05" customHeight="1">
      <c r="A1" s="1"/>
      <c r="B1" s="1"/>
      <c r="C1" s="1"/>
      <c r="D1" s="1"/>
      <c r="E1" s="1"/>
    </row>
    <row r="2" spans="1:15" ht="25.05" customHeight="1">
      <c r="C2" s="1"/>
      <c r="D2" s="1"/>
      <c r="E2" s="1"/>
    </row>
    <row r="3" spans="1:15" ht="25.05" customHeight="1">
      <c r="A3" s="2"/>
      <c r="B3" s="2"/>
      <c r="C3" s="2"/>
      <c r="D3" s="2"/>
      <c r="E3" s="3"/>
      <c r="F3" s="4"/>
      <c r="G3" s="4"/>
      <c r="H3" s="4"/>
      <c r="I3" s="4"/>
    </row>
    <row r="4" spans="1:15" ht="25.05" customHeight="1">
      <c r="A4" s="5"/>
      <c r="B4" s="10" t="s">
        <v>0</v>
      </c>
      <c r="C4" s="36"/>
      <c r="D4" s="36"/>
      <c r="E4" s="11"/>
      <c r="F4" s="11"/>
      <c r="G4" s="11"/>
      <c r="H4" s="11"/>
      <c r="I4" s="12"/>
    </row>
    <row r="5" spans="1:15" ht="37.950000000000003" customHeight="1">
      <c r="A5" s="9" t="s">
        <v>1</v>
      </c>
      <c r="B5" s="35" t="s">
        <v>2</v>
      </c>
      <c r="C5" s="60" t="s">
        <v>10</v>
      </c>
      <c r="D5" s="61"/>
      <c r="E5" s="30" t="s">
        <v>11</v>
      </c>
      <c r="F5" s="30"/>
      <c r="G5" s="13"/>
      <c r="H5" s="32"/>
      <c r="I5">
        <v>192</v>
      </c>
      <c r="K5" s="33"/>
      <c r="L5" s="34"/>
      <c r="M5" s="13"/>
      <c r="N5" s="14"/>
      <c r="O5" s="17"/>
    </row>
    <row r="6" spans="1:15" ht="25.05" customHeight="1">
      <c r="A6" s="6" t="s">
        <v>9</v>
      </c>
      <c r="B6" s="6"/>
      <c r="C6" s="6">
        <v>1</v>
      </c>
      <c r="D6" s="6">
        <v>2</v>
      </c>
      <c r="E6" s="23" t="s">
        <v>18</v>
      </c>
      <c r="F6" s="23" t="s">
        <v>17</v>
      </c>
      <c r="G6" s="23" t="s">
        <v>19</v>
      </c>
      <c r="H6" s="23" t="s">
        <v>20</v>
      </c>
      <c r="I6">
        <v>1</v>
      </c>
      <c r="K6" s="23"/>
      <c r="L6" s="23"/>
      <c r="M6" s="23"/>
      <c r="N6" s="31"/>
      <c r="O6" s="31"/>
    </row>
    <row r="7" spans="1:15" ht="25.05" customHeight="1">
      <c r="A7" s="5" t="s">
        <v>3</v>
      </c>
      <c r="B7" s="15">
        <v>0.29960101248690674</v>
      </c>
      <c r="C7" s="62">
        <v>0.44368850999999998</v>
      </c>
      <c r="D7" s="62">
        <v>0.434096133</v>
      </c>
      <c r="E7" s="63"/>
      <c r="F7" s="62">
        <v>0.40733127200000002</v>
      </c>
      <c r="G7" s="64"/>
      <c r="H7" s="19"/>
      <c r="I7" s="45">
        <v>0.34489313599999999</v>
      </c>
      <c r="K7" s="18"/>
      <c r="L7" s="19"/>
      <c r="M7" s="18"/>
    </row>
    <row r="8" spans="1:15" ht="25.05" customHeight="1">
      <c r="A8" s="5" t="s">
        <v>4</v>
      </c>
      <c r="B8" s="15">
        <v>0.48782025625752629</v>
      </c>
      <c r="C8" s="62">
        <v>0.51994613000000001</v>
      </c>
      <c r="D8" s="62">
        <v>0.51815958399999995</v>
      </c>
      <c r="E8" s="63"/>
      <c r="F8" s="62">
        <v>0.51709472000000001</v>
      </c>
      <c r="G8" s="64"/>
      <c r="H8" s="19"/>
      <c r="I8" s="45">
        <v>0.499461871</v>
      </c>
      <c r="K8" s="18"/>
      <c r="L8" s="19"/>
      <c r="M8" s="18"/>
    </row>
    <row r="9" spans="1:15" ht="25.05" customHeight="1">
      <c r="A9" s="5" t="s">
        <v>5</v>
      </c>
      <c r="B9" s="15">
        <v>0.52295169087459048</v>
      </c>
      <c r="C9" s="62">
        <v>0.64849654999999995</v>
      </c>
      <c r="D9" s="62">
        <v>0.642898423</v>
      </c>
      <c r="E9" s="63"/>
      <c r="F9" s="62">
        <v>0.62075975400000005</v>
      </c>
      <c r="G9" s="64"/>
      <c r="H9" s="19"/>
      <c r="I9" s="45">
        <v>0.54514790599999996</v>
      </c>
      <c r="K9" s="18"/>
      <c r="L9" s="19"/>
      <c r="M9" s="18"/>
    </row>
    <row r="10" spans="1:15" ht="25.05" customHeight="1">
      <c r="A10" s="5" t="s">
        <v>6</v>
      </c>
      <c r="B10" s="15">
        <v>0.36544650811281948</v>
      </c>
      <c r="C10" s="62">
        <v>0.30531786799999999</v>
      </c>
      <c r="D10" s="62">
        <v>0.31880282199999999</v>
      </c>
      <c r="E10" s="63"/>
      <c r="F10" s="62">
        <v>0.33995164300000003</v>
      </c>
      <c r="G10" s="64"/>
      <c r="H10" s="19"/>
      <c r="I10" s="45">
        <v>0.36208373999999999</v>
      </c>
      <c r="K10" s="18"/>
      <c r="L10" s="19"/>
      <c r="M10" s="18"/>
    </row>
    <row r="11" spans="1:15" ht="25.05" customHeight="1">
      <c r="A11" s="5" t="s">
        <v>7</v>
      </c>
      <c r="B11" s="15">
        <v>0.38352293822875039</v>
      </c>
      <c r="C11" s="62">
        <v>0.49467475300000002</v>
      </c>
      <c r="D11" s="62">
        <v>0.54570070500000001</v>
      </c>
      <c r="E11" s="63"/>
      <c r="F11" s="62">
        <v>0.50073174399999998</v>
      </c>
      <c r="G11" s="64"/>
      <c r="H11" s="19"/>
      <c r="I11" s="45">
        <v>0.40160548899999998</v>
      </c>
      <c r="K11" s="18"/>
      <c r="L11" s="19"/>
      <c r="M11" s="18"/>
    </row>
    <row r="12" spans="1:15" ht="25.05" customHeight="1">
      <c r="A12" s="8" t="s">
        <v>8</v>
      </c>
      <c r="B12" s="16">
        <f t="shared" ref="B12" si="0">AVERAGE(B7:B11)</f>
        <v>0.41186848119211861</v>
      </c>
      <c r="C12" s="65">
        <f>AVERAGE(C7:C11)</f>
        <v>0.48242476219999997</v>
      </c>
      <c r="D12" s="66">
        <f>AVERAGE(D7:D11)</f>
        <v>0.49193153340000001</v>
      </c>
      <c r="E12" s="66"/>
      <c r="F12" s="65">
        <f>AVERAGE(F7:F11)</f>
        <v>0.47717382659999996</v>
      </c>
      <c r="G12" s="66" t="e">
        <f>AVERAGE(G7:G11)</f>
        <v>#DIV/0!</v>
      </c>
      <c r="H12" s="21">
        <v>0.49968299799999999</v>
      </c>
      <c r="I12" s="65">
        <f>AVERAGE(I7:I11)</f>
        <v>0.4306384284</v>
      </c>
      <c r="K12" s="20"/>
      <c r="L12" s="21"/>
      <c r="M12" s="22"/>
      <c r="O12" s="22"/>
    </row>
    <row r="13" spans="1:15" ht="25.05" customHeight="1"/>
    <row r="14" spans="1:15" ht="25.05" customHeight="1"/>
    <row r="15" spans="1:15" ht="25.05" customHeight="1"/>
    <row r="16" spans="1:15" ht="25.05" customHeight="1"/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72B9-2564-4685-BE52-FD0A30AE3D13}">
  <dimension ref="A1:K9"/>
  <sheetViews>
    <sheetView workbookViewId="0">
      <selection activeCell="B3" sqref="B3"/>
    </sheetView>
  </sheetViews>
  <sheetFormatPr defaultRowHeight="13.8"/>
  <sheetData>
    <row r="1" spans="1:11" ht="21">
      <c r="A1" s="5"/>
      <c r="B1" s="10" t="s">
        <v>21</v>
      </c>
      <c r="C1" s="36"/>
      <c r="D1" s="36"/>
      <c r="E1" s="11"/>
      <c r="F1" s="11"/>
      <c r="G1" s="11"/>
      <c r="H1" s="11"/>
      <c r="I1" s="12"/>
    </row>
    <row r="2" spans="1:11">
      <c r="A2" s="9" t="s">
        <v>1</v>
      </c>
      <c r="C2" s="60"/>
      <c r="D2" s="61"/>
      <c r="E2" s="30"/>
      <c r="F2" s="30"/>
      <c r="G2" s="13"/>
      <c r="H2" s="32"/>
    </row>
    <row r="3" spans="1:11">
      <c r="A3" s="6" t="s">
        <v>9</v>
      </c>
      <c r="B3" s="35" t="s">
        <v>2</v>
      </c>
      <c r="C3" s="6"/>
      <c r="D3" s="6"/>
      <c r="E3" s="23"/>
      <c r="F3" s="23" t="s">
        <v>22</v>
      </c>
      <c r="G3" s="23" t="s">
        <v>23</v>
      </c>
      <c r="H3" s="23" t="s">
        <v>24</v>
      </c>
      <c r="I3" s="31" t="s">
        <v>25</v>
      </c>
    </row>
    <row r="4" spans="1:11">
      <c r="A4" s="5" t="s">
        <v>3</v>
      </c>
      <c r="B4" s="15">
        <v>0.33862549800000002</v>
      </c>
      <c r="C4" s="62"/>
      <c r="D4" s="62"/>
      <c r="E4" s="63"/>
      <c r="F4" s="63">
        <v>0.3</v>
      </c>
      <c r="G4" s="64">
        <v>0.21</v>
      </c>
      <c r="H4" s="19">
        <v>0.11</v>
      </c>
      <c r="I4" t="s">
        <v>28</v>
      </c>
      <c r="J4" t="s">
        <v>30</v>
      </c>
      <c r="K4" t="s">
        <v>29</v>
      </c>
    </row>
    <row r="5" spans="1:11">
      <c r="A5" s="5" t="s">
        <v>4</v>
      </c>
      <c r="B5" s="15"/>
      <c r="C5" s="62"/>
      <c r="D5" s="62"/>
      <c r="E5" s="63"/>
      <c r="F5" s="63">
        <v>0.35</v>
      </c>
      <c r="G5" s="64">
        <v>0.24</v>
      </c>
      <c r="H5" s="19">
        <v>0.16</v>
      </c>
      <c r="I5" t="s">
        <v>32</v>
      </c>
      <c r="J5" t="s">
        <v>34</v>
      </c>
      <c r="K5" t="s">
        <v>30</v>
      </c>
    </row>
    <row r="6" spans="1:11">
      <c r="A6" s="5" t="s">
        <v>5</v>
      </c>
      <c r="B6" s="15"/>
      <c r="C6" s="62"/>
      <c r="D6" s="62"/>
      <c r="E6" s="63"/>
      <c r="F6" s="63">
        <v>0.5</v>
      </c>
      <c r="G6" s="64">
        <v>0.34</v>
      </c>
      <c r="H6" s="19">
        <v>0.14000000000000001</v>
      </c>
      <c r="I6" t="s">
        <v>33</v>
      </c>
      <c r="J6" t="s">
        <v>32</v>
      </c>
      <c r="K6" t="s">
        <v>31</v>
      </c>
    </row>
    <row r="7" spans="1:11">
      <c r="A7" s="5" t="s">
        <v>6</v>
      </c>
      <c r="B7" s="15"/>
      <c r="C7" s="62"/>
      <c r="D7" s="62"/>
      <c r="E7" s="63"/>
      <c r="F7" s="63">
        <v>0.24</v>
      </c>
      <c r="G7" s="64">
        <v>0.23</v>
      </c>
      <c r="H7" s="19">
        <v>0.14000000000000001</v>
      </c>
      <c r="I7" t="s">
        <v>26</v>
      </c>
      <c r="J7" t="s">
        <v>34</v>
      </c>
      <c r="K7" t="s">
        <v>27</v>
      </c>
    </row>
    <row r="8" spans="1:11">
      <c r="A8" s="5" t="s">
        <v>7</v>
      </c>
      <c r="B8" s="15"/>
      <c r="C8" s="62"/>
      <c r="D8" s="62"/>
      <c r="E8" s="63"/>
      <c r="F8" s="63">
        <v>0.33</v>
      </c>
      <c r="G8" s="64">
        <v>0.23</v>
      </c>
      <c r="H8" s="19">
        <v>0.05</v>
      </c>
      <c r="I8" t="s">
        <v>34</v>
      </c>
      <c r="J8" t="s">
        <v>28</v>
      </c>
      <c r="K8" t="s">
        <v>28</v>
      </c>
    </row>
    <row r="9" spans="1:11">
      <c r="A9" s="8" t="s">
        <v>8</v>
      </c>
      <c r="B9" s="16">
        <f t="shared" ref="B9" si="0">AVERAGE(B4:B8)</f>
        <v>0.33862549800000002</v>
      </c>
      <c r="C9" s="65"/>
      <c r="D9" s="66"/>
      <c r="E9" s="66"/>
      <c r="F9" s="65"/>
      <c r="G9" s="66"/>
      <c r="H9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2449-D761-4BC6-BC14-A812A0938C9C}">
  <dimension ref="A1:P25"/>
  <sheetViews>
    <sheetView workbookViewId="0">
      <selection activeCell="E5" sqref="E5:E10"/>
    </sheetView>
  </sheetViews>
  <sheetFormatPr defaultRowHeight="13.8"/>
  <cols>
    <col min="1" max="2" width="11.5" customWidth="1"/>
    <col min="3" max="3" width="10" customWidth="1"/>
  </cols>
  <sheetData>
    <row r="1" spans="1:14" ht="21">
      <c r="A1" s="5"/>
      <c r="B1" s="67" t="s">
        <v>41</v>
      </c>
    </row>
    <row r="2" spans="1:14">
      <c r="A2" s="9" t="s">
        <v>1</v>
      </c>
    </row>
    <row r="3" spans="1:14">
      <c r="A3" s="6" t="s">
        <v>9</v>
      </c>
      <c r="B3" s="35" t="s">
        <v>2</v>
      </c>
      <c r="C3" s="35" t="s">
        <v>2</v>
      </c>
      <c r="D3" s="35" t="s">
        <v>49</v>
      </c>
      <c r="E3" s="35" t="s">
        <v>50</v>
      </c>
      <c r="F3" s="35" t="s">
        <v>51</v>
      </c>
      <c r="G3" s="35" t="s">
        <v>52</v>
      </c>
      <c r="H3" s="81" t="s">
        <v>55</v>
      </c>
    </row>
    <row r="4" spans="1:14">
      <c r="A4" t="s">
        <v>38</v>
      </c>
      <c r="B4" t="s">
        <v>37</v>
      </c>
      <c r="C4" t="s">
        <v>45</v>
      </c>
      <c r="D4" t="s">
        <v>42</v>
      </c>
      <c r="E4" t="s">
        <v>44</v>
      </c>
      <c r="F4" t="s">
        <v>47</v>
      </c>
      <c r="G4" t="s">
        <v>48</v>
      </c>
      <c r="H4" t="s">
        <v>48</v>
      </c>
      <c r="K4" t="s">
        <v>61</v>
      </c>
    </row>
    <row r="5" spans="1:14">
      <c r="A5" s="5" t="s">
        <v>3</v>
      </c>
      <c r="B5" s="68">
        <v>0.32</v>
      </c>
      <c r="C5" s="45">
        <v>0.40600000000000003</v>
      </c>
      <c r="D5" s="45">
        <v>0.36</v>
      </c>
      <c r="E5" s="45">
        <v>0.34325988200000002</v>
      </c>
      <c r="F5" s="45">
        <v>0.34337245399999999</v>
      </c>
      <c r="G5" s="45">
        <v>0.34338326400000002</v>
      </c>
      <c r="H5" s="45">
        <v>0.417390479813883</v>
      </c>
      <c r="I5" s="45"/>
      <c r="J5">
        <v>0.38648347721991499</v>
      </c>
      <c r="K5" s="45">
        <v>0.29307578338696499</v>
      </c>
      <c r="L5" s="45"/>
      <c r="M5" s="45"/>
      <c r="N5" s="45"/>
    </row>
    <row r="6" spans="1:14">
      <c r="A6" s="5" t="s">
        <v>4</v>
      </c>
      <c r="B6" s="68">
        <v>0.48</v>
      </c>
      <c r="C6" s="45">
        <v>0.52300000000000002</v>
      </c>
      <c r="D6" s="45">
        <v>0.50800000000000001</v>
      </c>
      <c r="E6" s="45">
        <v>0.497969043</v>
      </c>
      <c r="F6" s="45">
        <v>0.49018506000000001</v>
      </c>
      <c r="G6" s="45">
        <v>0.498509918</v>
      </c>
      <c r="H6" s="45">
        <v>0.523180952863739</v>
      </c>
      <c r="I6" s="45"/>
      <c r="J6" s="45">
        <v>0.50989138213775098</v>
      </c>
      <c r="K6" s="45">
        <v>0.47229643592972598</v>
      </c>
      <c r="L6" s="45"/>
      <c r="M6" s="45"/>
      <c r="N6" s="45"/>
    </row>
    <row r="7" spans="1:14">
      <c r="A7" s="5" t="s">
        <v>5</v>
      </c>
      <c r="B7" s="68">
        <v>5.5829999999999998E-2</v>
      </c>
      <c r="C7" s="45">
        <v>0.61070000000000002</v>
      </c>
      <c r="D7" s="45">
        <v>0.58205410899999999</v>
      </c>
      <c r="E7" s="45">
        <v>0.57320343600000001</v>
      </c>
      <c r="F7" s="45">
        <v>0.57239377199999997</v>
      </c>
      <c r="G7" s="45">
        <v>0.57327883300000004</v>
      </c>
      <c r="H7" s="45">
        <v>0.63034344760838201</v>
      </c>
      <c r="I7" s="45"/>
      <c r="J7" s="45">
        <v>0.60845584922915397</v>
      </c>
      <c r="K7" s="45">
        <v>0.525394435557899</v>
      </c>
      <c r="L7" s="45"/>
      <c r="M7" s="45"/>
      <c r="N7" s="45"/>
    </row>
    <row r="8" spans="1:14">
      <c r="A8" s="5" t="s">
        <v>6</v>
      </c>
      <c r="B8" s="68">
        <v>0.34300000000000003</v>
      </c>
      <c r="C8" s="45">
        <v>0.32359943899999999</v>
      </c>
      <c r="D8" s="45">
        <v>0.33513280600000001</v>
      </c>
      <c r="E8" s="45">
        <v>0.33479921699999998</v>
      </c>
      <c r="F8" s="45">
        <v>0.33238287599999999</v>
      </c>
      <c r="G8" s="45">
        <v>0.33466202900000003</v>
      </c>
      <c r="H8" s="45">
        <v>0.30508713536291199</v>
      </c>
      <c r="I8" s="45"/>
      <c r="J8" s="45">
        <v>0.31620628451561</v>
      </c>
      <c r="K8" s="45">
        <v>0.34186041212121099</v>
      </c>
      <c r="L8" s="45"/>
      <c r="M8" s="45"/>
      <c r="N8" s="45"/>
    </row>
    <row r="9" spans="1:14">
      <c r="A9" s="5" t="s">
        <v>7</v>
      </c>
      <c r="B9" s="68">
        <v>0.42920000000000003</v>
      </c>
      <c r="C9" s="45">
        <v>0.51610050200000002</v>
      </c>
      <c r="D9" s="45">
        <v>0.465594864</v>
      </c>
      <c r="E9" s="45">
        <v>0.45220607200000001</v>
      </c>
      <c r="F9" s="45">
        <v>0.451406847</v>
      </c>
      <c r="G9" s="45">
        <v>0.45224057400000001</v>
      </c>
      <c r="H9" s="45">
        <v>0.53072347695633704</v>
      </c>
      <c r="I9" s="45"/>
      <c r="J9" s="45">
        <v>0.499110115849625</v>
      </c>
      <c r="K9" s="45">
        <v>0.37990923911305602</v>
      </c>
      <c r="L9" s="45"/>
      <c r="M9" s="45"/>
      <c r="N9" s="45"/>
    </row>
    <row r="10" spans="1:14" ht="21.6" customHeight="1">
      <c r="A10" s="8" t="s">
        <v>8</v>
      </c>
      <c r="B10" s="21">
        <f t="shared" ref="B10:K10" si="0">AVERAGE(B5:B9)</f>
        <v>0.32560600000000001</v>
      </c>
      <c r="C10" s="21">
        <f t="shared" si="0"/>
        <v>0.47587998819999999</v>
      </c>
      <c r="D10" s="21">
        <f t="shared" si="0"/>
        <v>0.45015635580000002</v>
      </c>
      <c r="E10" s="21">
        <f t="shared" si="0"/>
        <v>0.44028752999999998</v>
      </c>
      <c r="F10" s="21">
        <f t="shared" si="0"/>
        <v>0.43794820179999999</v>
      </c>
      <c r="G10" s="21">
        <f t="shared" si="0"/>
        <v>0.44041492360000001</v>
      </c>
      <c r="H10" s="21">
        <f t="shared" si="0"/>
        <v>0.48134509852105067</v>
      </c>
      <c r="I10" s="45"/>
      <c r="J10" s="21">
        <f>AVERAGE(J5:J9)</f>
        <v>0.46402942179041096</v>
      </c>
      <c r="K10" s="21">
        <f>AVERAGE(K5:K9)</f>
        <v>0.40250726122177138</v>
      </c>
      <c r="L10" s="45"/>
      <c r="M10" s="45"/>
      <c r="N10" s="45"/>
    </row>
    <row r="16" spans="1:14" ht="21">
      <c r="A16" s="5"/>
      <c r="B16" s="67" t="s">
        <v>40</v>
      </c>
    </row>
    <row r="17" spans="1:16">
      <c r="A17" s="9" t="s">
        <v>1</v>
      </c>
    </row>
    <row r="18" spans="1:16">
      <c r="A18" s="6" t="s">
        <v>9</v>
      </c>
      <c r="B18" s="35" t="s">
        <v>2</v>
      </c>
      <c r="C18" s="35" t="s">
        <v>2</v>
      </c>
      <c r="D18" s="35" t="s">
        <v>2</v>
      </c>
      <c r="E18" s="35" t="s">
        <v>2</v>
      </c>
      <c r="F18" s="35" t="s">
        <v>2</v>
      </c>
      <c r="G18" s="35" t="s">
        <v>2</v>
      </c>
      <c r="H18" s="81" t="s">
        <v>55</v>
      </c>
    </row>
    <row r="19" spans="1:16">
      <c r="A19" t="s">
        <v>38</v>
      </c>
      <c r="B19" t="s">
        <v>37</v>
      </c>
      <c r="C19" t="s">
        <v>45</v>
      </c>
      <c r="D19" t="s">
        <v>42</v>
      </c>
      <c r="E19" t="s">
        <v>44</v>
      </c>
      <c r="F19" t="s">
        <v>47</v>
      </c>
      <c r="G19" t="s">
        <v>48</v>
      </c>
      <c r="H19" t="s">
        <v>48</v>
      </c>
      <c r="I19" t="s">
        <v>56</v>
      </c>
      <c r="J19" t="s">
        <v>57</v>
      </c>
      <c r="K19" t="s">
        <v>61</v>
      </c>
    </row>
    <row r="20" spans="1:16">
      <c r="A20" s="5" t="s">
        <v>3</v>
      </c>
      <c r="B20" s="19">
        <v>3.7218465999999999E-2</v>
      </c>
      <c r="C20" s="70">
        <v>1.3987197999999999E-2</v>
      </c>
      <c r="D20" s="70">
        <v>3.3765554000000003E-2</v>
      </c>
      <c r="E20" s="70">
        <v>4.2820744000000001E-2</v>
      </c>
      <c r="F20" s="45">
        <v>4.2728588999999997E-2</v>
      </c>
      <c r="G20" s="45">
        <v>4.2784941E-2</v>
      </c>
      <c r="H20" s="45">
        <v>4.7094369629041302E-2</v>
      </c>
      <c r="I20" s="45">
        <v>3.6997222320771198E-2</v>
      </c>
      <c r="J20" s="45">
        <v>5.0304594449151502E-2</v>
      </c>
      <c r="K20" s="45">
        <v>5.0726101321183999E-2</v>
      </c>
      <c r="L20" s="45"/>
      <c r="M20" s="45"/>
      <c r="N20" s="45"/>
      <c r="O20" s="45"/>
      <c r="P20" s="45"/>
    </row>
    <row r="21" spans="1:16">
      <c r="A21" s="5" t="s">
        <v>4</v>
      </c>
      <c r="B21" s="19">
        <v>6.9221220999999999E-2</v>
      </c>
      <c r="C21" s="70">
        <v>2.1191194999999999E-2</v>
      </c>
      <c r="D21" s="70">
        <v>5.4892050999999997E-2</v>
      </c>
      <c r="E21" s="70">
        <v>7.3807260999999999E-2</v>
      </c>
      <c r="F21" s="45">
        <v>7.3286905999999999E-2</v>
      </c>
      <c r="G21" s="45">
        <v>7.3742275999999995E-2</v>
      </c>
      <c r="H21" s="45">
        <v>5.9285183089383402E-2</v>
      </c>
      <c r="I21" s="45">
        <v>4.7043839530746097E-2</v>
      </c>
      <c r="J21" s="45">
        <v>6.5665723480432495E-2</v>
      </c>
      <c r="K21" s="45">
        <v>8.5322281035577804E-2</v>
      </c>
      <c r="L21" s="45"/>
      <c r="M21" s="45"/>
      <c r="N21" s="45"/>
      <c r="O21" s="45"/>
      <c r="P21" s="45"/>
    </row>
    <row r="22" spans="1:16">
      <c r="A22" s="5" t="s">
        <v>5</v>
      </c>
      <c r="B22" s="19">
        <v>0.14858254900000001</v>
      </c>
      <c r="C22" s="70">
        <v>6.2549336999999997E-2</v>
      </c>
      <c r="D22" s="70">
        <v>0.12998521399999999</v>
      </c>
      <c r="E22" s="70">
        <v>0.15788672600000001</v>
      </c>
      <c r="F22" s="45">
        <v>0.15797713399999999</v>
      </c>
      <c r="G22" s="45">
        <v>0.15845236100000001</v>
      </c>
      <c r="H22" s="45">
        <v>0.170051686116966</v>
      </c>
      <c r="I22" s="45">
        <v>0.146539142876631</v>
      </c>
      <c r="J22" s="45">
        <v>0.18082925178859699</v>
      </c>
      <c r="K22" s="45">
        <v>0.16355241751754299</v>
      </c>
      <c r="L22" s="45"/>
      <c r="M22" s="45"/>
      <c r="N22" s="45"/>
      <c r="O22" s="45"/>
      <c r="P22" s="45"/>
    </row>
    <row r="23" spans="1:16">
      <c r="A23" s="5" t="s">
        <v>6</v>
      </c>
      <c r="B23" s="19">
        <v>3.2944888999999998E-2</v>
      </c>
      <c r="C23" s="70">
        <v>6.262129E-3</v>
      </c>
      <c r="D23" s="70">
        <v>2.3993153E-2</v>
      </c>
      <c r="E23" s="70">
        <v>3.4055057E-2</v>
      </c>
      <c r="F23" s="45">
        <v>3.3550207999999998E-2</v>
      </c>
      <c r="G23" s="45">
        <v>3.3633726000000003E-2</v>
      </c>
      <c r="H23" s="45">
        <v>2.1699616120661399E-2</v>
      </c>
      <c r="I23" s="45">
        <v>1.6164016176619399E-2</v>
      </c>
      <c r="J23" s="45">
        <v>2.9569832513109399E-2</v>
      </c>
      <c r="K23" s="45">
        <v>4.3675376240422802E-2</v>
      </c>
      <c r="L23" s="45"/>
      <c r="M23" s="45"/>
      <c r="N23" s="45"/>
      <c r="O23" s="45"/>
      <c r="P23" s="45"/>
    </row>
    <row r="24" spans="1:16">
      <c r="A24" s="5" t="s">
        <v>7</v>
      </c>
      <c r="B24" s="19">
        <v>5.9304678999999999E-2</v>
      </c>
      <c r="C24" s="70">
        <v>3.6393218999999997E-2</v>
      </c>
      <c r="D24" s="70">
        <v>5.8564214000000003E-2</v>
      </c>
      <c r="E24" s="70">
        <v>6.5616483000000003E-2</v>
      </c>
      <c r="F24" s="45">
        <v>6.5591788999999998E-2</v>
      </c>
      <c r="G24" s="45">
        <v>6.5594140999999995E-2</v>
      </c>
      <c r="H24" s="45">
        <v>9.2525400943434005E-2</v>
      </c>
      <c r="I24" s="45">
        <v>8.7316305258767601E-2</v>
      </c>
      <c r="J24" s="45">
        <v>8.7374883331797396E-2</v>
      </c>
      <c r="K24" s="45">
        <v>6.9400873986287803E-2</v>
      </c>
      <c r="L24" s="45"/>
      <c r="M24" s="45"/>
      <c r="N24" s="45"/>
      <c r="O24" s="45"/>
      <c r="P24" s="45"/>
    </row>
    <row r="25" spans="1:16" ht="15.6" customHeight="1">
      <c r="A25" s="71" t="s">
        <v>46</v>
      </c>
      <c r="B25" s="21">
        <f t="shared" ref="B25:K25" si="1">AVERAGE(B20:B24)</f>
        <v>6.9454360800000003E-2</v>
      </c>
      <c r="C25" s="21">
        <f t="shared" si="1"/>
        <v>2.80766156E-2</v>
      </c>
      <c r="D25" s="21">
        <f t="shared" si="1"/>
        <v>6.0240037199999999E-2</v>
      </c>
      <c r="E25" s="21">
        <f t="shared" si="1"/>
        <v>7.4837254200000008E-2</v>
      </c>
      <c r="F25" s="21">
        <f t="shared" si="1"/>
        <v>7.4626925199999999E-2</v>
      </c>
      <c r="G25" s="21">
        <f t="shared" si="1"/>
        <v>7.4841488999999997E-2</v>
      </c>
      <c r="H25" s="21">
        <f t="shared" si="1"/>
        <v>7.8131251179897207E-2</v>
      </c>
      <c r="I25" s="21">
        <f t="shared" si="1"/>
        <v>6.6812105232707059E-2</v>
      </c>
      <c r="J25" s="21">
        <f t="shared" si="1"/>
        <v>8.2748857112617563E-2</v>
      </c>
      <c r="K25" s="21">
        <f t="shared" si="1"/>
        <v>8.2535410020203065E-2</v>
      </c>
      <c r="L25" s="45"/>
      <c r="M25" s="45"/>
      <c r="N25" s="45"/>
      <c r="O25" s="45"/>
      <c r="P25" s="45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4CFE-D3FF-4AD2-BAAD-8E29E8B78A31}">
  <dimension ref="A1:G22"/>
  <sheetViews>
    <sheetView workbookViewId="0">
      <selection activeCell="F5" sqref="F5:F10"/>
    </sheetView>
  </sheetViews>
  <sheetFormatPr defaultRowHeight="13.8"/>
  <cols>
    <col min="1" max="1" width="15.09765625" customWidth="1"/>
    <col min="2" max="2" width="10.796875" customWidth="1"/>
    <col min="3" max="3" width="9.796875" customWidth="1"/>
  </cols>
  <sheetData>
    <row r="1" spans="1:7" ht="21">
      <c r="A1" s="5"/>
      <c r="B1" s="67" t="s">
        <v>35</v>
      </c>
    </row>
    <row r="2" spans="1:7">
      <c r="A2" s="9" t="s">
        <v>1</v>
      </c>
    </row>
    <row r="3" spans="1:7">
      <c r="A3" s="6" t="s">
        <v>9</v>
      </c>
      <c r="B3" s="35" t="s">
        <v>2</v>
      </c>
      <c r="C3" s="35" t="s">
        <v>2</v>
      </c>
    </row>
    <row r="4" spans="1:7">
      <c r="A4" t="s">
        <v>38</v>
      </c>
      <c r="B4" t="s">
        <v>37</v>
      </c>
      <c r="C4" t="s">
        <v>39</v>
      </c>
      <c r="F4" t="s">
        <v>48</v>
      </c>
    </row>
    <row r="5" spans="1:7">
      <c r="A5" s="5" t="s">
        <v>3</v>
      </c>
      <c r="B5" s="68">
        <v>0.41</v>
      </c>
      <c r="C5">
        <v>0.44</v>
      </c>
      <c r="F5">
        <v>0.40524875857669401</v>
      </c>
    </row>
    <row r="6" spans="1:7">
      <c r="A6" s="5" t="s">
        <v>4</v>
      </c>
      <c r="B6" s="68">
        <v>0.52</v>
      </c>
      <c r="C6">
        <v>0.5</v>
      </c>
      <c r="F6">
        <v>0.52775885648945098</v>
      </c>
    </row>
    <row r="7" spans="1:7">
      <c r="A7" s="5" t="s">
        <v>5</v>
      </c>
      <c r="B7" s="68">
        <v>0.57999999999999996</v>
      </c>
      <c r="C7">
        <v>0.59</v>
      </c>
      <c r="F7">
        <v>0.60916746088210905</v>
      </c>
    </row>
    <row r="8" spans="1:7">
      <c r="A8" s="5" t="s">
        <v>6</v>
      </c>
      <c r="B8" s="68">
        <v>0.3</v>
      </c>
      <c r="C8">
        <v>0.24</v>
      </c>
      <c r="F8">
        <v>0.33006072115505602</v>
      </c>
    </row>
    <row r="9" spans="1:7">
      <c r="A9" s="5" t="s">
        <v>7</v>
      </c>
      <c r="B9" s="68">
        <v>0.44</v>
      </c>
      <c r="C9">
        <v>0.51</v>
      </c>
      <c r="F9">
        <v>0.52574249764417802</v>
      </c>
    </row>
    <row r="10" spans="1:7">
      <c r="A10" s="8" t="s">
        <v>8</v>
      </c>
      <c r="B10" s="69">
        <f t="shared" ref="B10" si="0">AVERAGE(B5:B9)</f>
        <v>0.45</v>
      </c>
      <c r="C10">
        <v>0.46</v>
      </c>
      <c r="F10">
        <v>0.46</v>
      </c>
    </row>
    <row r="13" spans="1:7" ht="21">
      <c r="A13" s="5"/>
      <c r="B13" s="67" t="s">
        <v>36</v>
      </c>
    </row>
    <row r="14" spans="1:7">
      <c r="A14" s="9" t="s">
        <v>1</v>
      </c>
    </row>
    <row r="15" spans="1:7">
      <c r="A15" s="6" t="s">
        <v>9</v>
      </c>
      <c r="B15" s="35" t="s">
        <v>2</v>
      </c>
      <c r="C15" s="35" t="s">
        <v>49</v>
      </c>
      <c r="D15" s="35" t="s">
        <v>50</v>
      </c>
      <c r="E15" t="s">
        <v>59</v>
      </c>
    </row>
    <row r="16" spans="1:7">
      <c r="A16" t="s">
        <v>38</v>
      </c>
      <c r="B16" t="s">
        <v>37</v>
      </c>
      <c r="C16" t="s">
        <v>39</v>
      </c>
      <c r="D16" t="s">
        <v>48</v>
      </c>
      <c r="E16" t="s">
        <v>58</v>
      </c>
      <c r="F16" t="s">
        <v>48</v>
      </c>
      <c r="G16" t="s">
        <v>60</v>
      </c>
    </row>
    <row r="17" spans="1:7">
      <c r="A17" s="5" t="s">
        <v>3</v>
      </c>
      <c r="B17" s="72">
        <v>0.06</v>
      </c>
      <c r="C17" s="70">
        <v>5.0000000000000001E-3</v>
      </c>
      <c r="D17" s="70">
        <v>5.9900000000000002E-2</v>
      </c>
      <c r="E17">
        <v>5.43399861229166E-2</v>
      </c>
      <c r="F17">
        <v>5.2027351534150001E-2</v>
      </c>
      <c r="G17">
        <v>5.02936802061126E-2</v>
      </c>
    </row>
    <row r="18" spans="1:7">
      <c r="A18" s="5" t="s">
        <v>4</v>
      </c>
      <c r="B18" s="72">
        <v>0.09</v>
      </c>
      <c r="C18" s="70">
        <v>0.01</v>
      </c>
      <c r="D18" s="70">
        <v>9.2999999999999999E-2</v>
      </c>
      <c r="E18">
        <v>8.4857591101279106E-2</v>
      </c>
      <c r="F18">
        <v>7.33103211682547E-2</v>
      </c>
      <c r="G18">
        <v>7.1206568897825395E-2</v>
      </c>
    </row>
    <row r="19" spans="1:7">
      <c r="A19" s="5" t="s">
        <v>5</v>
      </c>
      <c r="B19" s="72">
        <v>0.15</v>
      </c>
      <c r="C19" s="70">
        <v>0.02</v>
      </c>
      <c r="D19" s="70">
        <v>0.151</v>
      </c>
      <c r="E19">
        <v>0.17026732083613799</v>
      </c>
      <c r="F19">
        <v>0.16068799808416601</v>
      </c>
      <c r="G19">
        <v>0.15827126754513801</v>
      </c>
    </row>
    <row r="20" spans="1:7">
      <c r="A20" s="5" t="s">
        <v>6</v>
      </c>
      <c r="B20" s="72">
        <v>2.7184000999999999E-2</v>
      </c>
      <c r="C20" s="70">
        <v>1E-3</v>
      </c>
      <c r="D20" s="70">
        <v>2.8899999999999999E-2</v>
      </c>
      <c r="E20">
        <v>4.2772681155411302E-2</v>
      </c>
      <c r="F20">
        <v>3.3104008999754901E-2</v>
      </c>
      <c r="G20">
        <v>3.3359978163438497E-2</v>
      </c>
    </row>
    <row r="21" spans="1:7">
      <c r="A21" s="5" t="s">
        <v>7</v>
      </c>
      <c r="B21" s="72">
        <v>5.9439958000000001E-2</v>
      </c>
      <c r="C21" s="70">
        <v>0.02</v>
      </c>
      <c r="D21" s="70">
        <v>6.9199999999999998E-2</v>
      </c>
      <c r="E21">
        <v>8.0892692839954705E-2</v>
      </c>
      <c r="F21">
        <v>9.7758274365416203E-2</v>
      </c>
      <c r="G21">
        <v>9.4191459040693704E-2</v>
      </c>
    </row>
    <row r="22" spans="1:7">
      <c r="A22" s="8" t="s">
        <v>8</v>
      </c>
      <c r="B22" s="21">
        <f t="shared" ref="B22:E22" si="1">AVERAGE(B17:B21)</f>
        <v>7.7324791800000001E-2</v>
      </c>
      <c r="C22" s="21">
        <f t="shared" si="1"/>
        <v>1.1200000000000002E-2</v>
      </c>
      <c r="D22" s="21">
        <f t="shared" si="1"/>
        <v>8.0399999999999999E-2</v>
      </c>
      <c r="E22" s="21">
        <f>AVERAGE(E17:E21)</f>
        <v>8.6626054411139949E-2</v>
      </c>
      <c r="F22" s="21">
        <f>AVERAGE(F17:F21)</f>
        <v>8.3377590830348375E-2</v>
      </c>
      <c r="G22" s="21">
        <f>AVERAGE(G17:G21)</f>
        <v>8.1464590770641637E-2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53F6-1CBC-45DD-85B6-0D843C85863E}">
  <dimension ref="A1:J25"/>
  <sheetViews>
    <sheetView tabSelected="1" topLeftCell="A3" workbookViewId="0">
      <selection activeCell="L16" sqref="L16"/>
    </sheetView>
  </sheetViews>
  <sheetFormatPr defaultRowHeight="13.8"/>
  <cols>
    <col min="1" max="1" width="17" customWidth="1"/>
    <col min="2" max="2" width="9.8984375" customWidth="1"/>
    <col min="5" max="5" width="20.59765625" bestFit="1" customWidth="1"/>
  </cols>
  <sheetData>
    <row r="1" spans="1:10" ht="21">
      <c r="A1" s="5"/>
      <c r="B1" s="67" t="s">
        <v>21</v>
      </c>
    </row>
    <row r="2" spans="1:10">
      <c r="A2" s="9" t="s">
        <v>1</v>
      </c>
    </row>
    <row r="3" spans="1:10">
      <c r="A3" s="6" t="s">
        <v>9</v>
      </c>
      <c r="B3" s="35" t="s">
        <v>2</v>
      </c>
      <c r="C3" s="35" t="s">
        <v>2</v>
      </c>
      <c r="D3" s="35" t="s">
        <v>49</v>
      </c>
      <c r="E3" s="35" t="s">
        <v>50</v>
      </c>
      <c r="F3" s="35" t="s">
        <v>51</v>
      </c>
      <c r="G3" s="35" t="s">
        <v>52</v>
      </c>
    </row>
    <row r="4" spans="1:10">
      <c r="A4" t="s">
        <v>38</v>
      </c>
      <c r="B4" t="s">
        <v>37</v>
      </c>
      <c r="C4" t="s">
        <v>45</v>
      </c>
      <c r="D4" t="s">
        <v>42</v>
      </c>
      <c r="E4" t="s">
        <v>44</v>
      </c>
      <c r="F4" t="s">
        <v>47</v>
      </c>
      <c r="G4" t="s">
        <v>48</v>
      </c>
    </row>
    <row r="5" spans="1:10">
      <c r="A5" s="5" t="s">
        <v>3</v>
      </c>
      <c r="B5" s="68">
        <v>0.28690741760871402</v>
      </c>
      <c r="C5" s="45"/>
      <c r="D5" s="45"/>
      <c r="E5" s="45"/>
      <c r="F5" s="45"/>
      <c r="G5" s="45">
        <v>0.29535421216839303</v>
      </c>
      <c r="J5" t="s">
        <v>76</v>
      </c>
    </row>
    <row r="6" spans="1:10">
      <c r="A6" s="5" t="s">
        <v>4</v>
      </c>
      <c r="B6" s="68">
        <v>0.40888285869561197</v>
      </c>
      <c r="C6" s="45"/>
      <c r="D6" s="45"/>
      <c r="E6" s="45"/>
      <c r="F6" s="45"/>
      <c r="G6" s="45">
        <v>0.40888285869561197</v>
      </c>
      <c r="J6" t="s">
        <v>77</v>
      </c>
    </row>
    <row r="7" spans="1:10">
      <c r="A7" s="5" t="s">
        <v>5</v>
      </c>
      <c r="B7" s="68">
        <v>0.460139707582712</v>
      </c>
      <c r="C7" s="45"/>
      <c r="D7" s="45"/>
      <c r="E7" s="45"/>
      <c r="F7" s="45"/>
      <c r="G7" s="45">
        <v>0.460139707582712</v>
      </c>
      <c r="J7" t="s">
        <v>78</v>
      </c>
    </row>
    <row r="8" spans="1:10">
      <c r="A8" s="5" t="s">
        <v>6</v>
      </c>
      <c r="B8" s="68">
        <v>0.279025405860095</v>
      </c>
      <c r="C8" s="45"/>
      <c r="D8" s="45"/>
      <c r="E8" s="45"/>
      <c r="F8" s="45"/>
      <c r="G8" s="45">
        <v>0.27868619727447602</v>
      </c>
      <c r="J8" t="s">
        <v>79</v>
      </c>
    </row>
    <row r="9" spans="1:10">
      <c r="A9" s="5" t="s">
        <v>7</v>
      </c>
      <c r="B9" s="68">
        <v>0.28424473442673598</v>
      </c>
      <c r="C9" s="45"/>
      <c r="D9" s="45"/>
      <c r="E9" s="45"/>
      <c r="F9" s="45"/>
      <c r="G9" s="45">
        <v>0.30037923751692802</v>
      </c>
      <c r="J9" t="s">
        <v>80</v>
      </c>
    </row>
    <row r="10" spans="1:10">
      <c r="A10" s="8" t="s">
        <v>8</v>
      </c>
      <c r="B10" s="21">
        <f>AVERAGE(B5:B9)</f>
        <v>0.34384002483477383</v>
      </c>
      <c r="C10" s="21" t="e">
        <f t="shared" ref="C10:G10" si="0">AVERAGE(C5:C9)</f>
        <v>#DIV/0!</v>
      </c>
      <c r="D10" s="21" t="e">
        <f t="shared" si="0"/>
        <v>#DIV/0!</v>
      </c>
      <c r="E10" s="21" t="e">
        <f t="shared" si="0"/>
        <v>#DIV/0!</v>
      </c>
      <c r="F10" s="21" t="e">
        <f t="shared" si="0"/>
        <v>#DIV/0!</v>
      </c>
      <c r="G10" s="21">
        <f t="shared" si="0"/>
        <v>0.34868844264762422</v>
      </c>
      <c r="H10" s="21"/>
    </row>
    <row r="16" spans="1:10" ht="21">
      <c r="A16" s="5"/>
      <c r="B16" s="67" t="s">
        <v>54</v>
      </c>
    </row>
    <row r="17" spans="1:10">
      <c r="A17" s="9" t="s">
        <v>1</v>
      </c>
    </row>
    <row r="18" spans="1:10">
      <c r="A18" s="6" t="s">
        <v>9</v>
      </c>
      <c r="B18" s="35" t="s">
        <v>2</v>
      </c>
      <c r="C18" s="35" t="s">
        <v>2</v>
      </c>
      <c r="D18" s="35" t="s">
        <v>49</v>
      </c>
      <c r="E18" s="35" t="s">
        <v>50</v>
      </c>
      <c r="F18" s="35" t="s">
        <v>51</v>
      </c>
      <c r="G18" s="35" t="s">
        <v>52</v>
      </c>
      <c r="J18" s="93" t="s">
        <v>75</v>
      </c>
    </row>
    <row r="19" spans="1:10">
      <c r="A19" t="s">
        <v>38</v>
      </c>
      <c r="B19" t="s">
        <v>37</v>
      </c>
      <c r="C19" t="s">
        <v>45</v>
      </c>
      <c r="D19" t="s">
        <v>42</v>
      </c>
      <c r="E19" t="s">
        <v>44</v>
      </c>
      <c r="F19" t="s">
        <v>47</v>
      </c>
      <c r="G19" t="s">
        <v>48</v>
      </c>
      <c r="H19" t="s">
        <v>43</v>
      </c>
      <c r="I19" t="s">
        <v>53</v>
      </c>
    </row>
    <row r="20" spans="1:10">
      <c r="A20" s="5" t="s">
        <v>3</v>
      </c>
      <c r="B20" s="19">
        <v>3.1734790542710202E-2</v>
      </c>
      <c r="C20" s="70"/>
      <c r="D20" s="70"/>
      <c r="E20" s="70">
        <v>3.2858445472339501E-2</v>
      </c>
      <c r="F20" s="45"/>
      <c r="G20" s="45">
        <v>3.2858445472339501E-2</v>
      </c>
      <c r="H20" s="45">
        <v>3.6788339918729797E-2</v>
      </c>
      <c r="I20" s="45">
        <v>3.0490420926095399E-2</v>
      </c>
      <c r="J20" t="s">
        <v>81</v>
      </c>
    </row>
    <row r="21" spans="1:10">
      <c r="A21" s="5" t="s">
        <v>4</v>
      </c>
      <c r="B21" s="19">
        <v>7.4275663355559504E-2</v>
      </c>
      <c r="C21" s="70"/>
      <c r="D21" s="70"/>
      <c r="E21" s="70">
        <v>7.4275663355559504E-2</v>
      </c>
      <c r="F21" s="45"/>
      <c r="G21" s="45">
        <v>7.4275663355559504E-2</v>
      </c>
      <c r="H21" s="45">
        <v>8.5038681945984101E-2</v>
      </c>
      <c r="I21" s="45">
        <v>8.0765217468929396E-2</v>
      </c>
      <c r="J21" t="s">
        <v>82</v>
      </c>
    </row>
    <row r="22" spans="1:10">
      <c r="A22" s="5" t="s">
        <v>5</v>
      </c>
      <c r="B22" s="19">
        <v>0.104257965348204</v>
      </c>
      <c r="C22" s="70"/>
      <c r="D22" s="70"/>
      <c r="E22" s="70">
        <v>0.104257965348204</v>
      </c>
      <c r="F22" s="45"/>
      <c r="G22" s="45">
        <v>0.104</v>
      </c>
      <c r="H22" s="45">
        <v>0.10841106684937001</v>
      </c>
      <c r="I22" s="45">
        <v>0.108799604934304</v>
      </c>
      <c r="J22" t="s">
        <v>83</v>
      </c>
    </row>
    <row r="23" spans="1:10">
      <c r="A23" s="5" t="s">
        <v>6</v>
      </c>
      <c r="B23" s="19">
        <v>3.5526704822912099E-2</v>
      </c>
      <c r="C23" s="70"/>
      <c r="D23" s="70"/>
      <c r="E23" s="70">
        <v>3.60827264870393E-2</v>
      </c>
      <c r="F23" s="45"/>
      <c r="G23" s="45">
        <v>3.60827264870393E-2</v>
      </c>
      <c r="H23" s="45">
        <v>2.41389348925201E-2</v>
      </c>
      <c r="I23" s="45">
        <v>1.40635761187795E-2</v>
      </c>
      <c r="J23" t="s">
        <v>84</v>
      </c>
    </row>
    <row r="24" spans="1:10">
      <c r="A24" s="5" t="s">
        <v>7</v>
      </c>
      <c r="B24" s="19">
        <v>3.9867348991240503E-2</v>
      </c>
      <c r="C24" s="70"/>
      <c r="D24" s="70"/>
      <c r="E24" s="70">
        <v>4.02378423932458E-2</v>
      </c>
      <c r="F24" s="45"/>
      <c r="G24" s="45">
        <v>4.02378423932458E-2</v>
      </c>
      <c r="H24" s="45">
        <v>6.1902086218172399E-2</v>
      </c>
      <c r="I24" s="45">
        <v>7.7102667039015804E-2</v>
      </c>
      <c r="J24" t="s">
        <v>85</v>
      </c>
    </row>
    <row r="25" spans="1:10">
      <c r="A25" s="71" t="s">
        <v>46</v>
      </c>
      <c r="B25" s="21">
        <f t="shared" ref="B25:I25" si="1">AVERAGE(B20:B24)</f>
        <v>5.7132494612125259E-2</v>
      </c>
      <c r="C25" s="21" t="e">
        <f t="shared" si="1"/>
        <v>#DIV/0!</v>
      </c>
      <c r="D25" s="21" t="e">
        <f t="shared" si="1"/>
        <v>#DIV/0!</v>
      </c>
      <c r="E25" s="21">
        <f>AVERAGE(E20:E24)</f>
        <v>5.7542528611277621E-2</v>
      </c>
      <c r="F25" s="21" t="e">
        <f t="shared" si="1"/>
        <v>#DIV/0!</v>
      </c>
      <c r="G25" s="21">
        <f t="shared" si="1"/>
        <v>5.7490935541636826E-2</v>
      </c>
      <c r="H25" s="21">
        <f t="shared" si="1"/>
        <v>6.3255821964955286E-2</v>
      </c>
      <c r="I25" s="21">
        <f t="shared" si="1"/>
        <v>6.2244297297424825E-2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173D-FFFB-4613-8853-3B75CBD16295}">
  <dimension ref="B5:K13"/>
  <sheetViews>
    <sheetView topLeftCell="B4" workbookViewId="0">
      <selection activeCell="G20" sqref="G20"/>
    </sheetView>
  </sheetViews>
  <sheetFormatPr defaultRowHeight="13.8"/>
  <cols>
    <col min="2" max="2" width="14.69921875" customWidth="1"/>
    <col min="3" max="3" width="11.3984375" customWidth="1"/>
    <col min="4" max="4" width="11.59765625" customWidth="1"/>
    <col min="5" max="5" width="11.09765625" customWidth="1"/>
  </cols>
  <sheetData>
    <row r="5" spans="2:11">
      <c r="B5" s="5"/>
      <c r="D5" t="s">
        <v>13</v>
      </c>
    </row>
    <row r="6" spans="2:11">
      <c r="B6" s="9" t="s">
        <v>1</v>
      </c>
      <c r="C6" s="43" t="s">
        <v>2</v>
      </c>
      <c r="D6" s="37" t="s">
        <v>16</v>
      </c>
      <c r="E6" s="58"/>
      <c r="F6" s="39" t="s">
        <v>14</v>
      </c>
      <c r="G6" s="40"/>
      <c r="H6" s="40"/>
      <c r="I6" s="41"/>
      <c r="J6" t="s">
        <v>15</v>
      </c>
    </row>
    <row r="7" spans="2:11">
      <c r="B7" s="6" t="s">
        <v>9</v>
      </c>
      <c r="C7" s="49"/>
      <c r="D7" s="55">
        <v>1</v>
      </c>
      <c r="E7" s="55">
        <v>2</v>
      </c>
      <c r="F7" s="52">
        <v>1</v>
      </c>
      <c r="G7" s="42">
        <v>2</v>
      </c>
      <c r="H7" s="42">
        <v>3</v>
      </c>
      <c r="I7" s="42">
        <v>4</v>
      </c>
      <c r="J7" s="59">
        <v>1</v>
      </c>
      <c r="K7" s="59">
        <v>2</v>
      </c>
    </row>
    <row r="8" spans="2:11">
      <c r="B8" s="5" t="s">
        <v>3</v>
      </c>
      <c r="C8" s="50">
        <v>0.29960101248690674</v>
      </c>
      <c r="D8" s="56">
        <v>0.215675798</v>
      </c>
      <c r="E8" s="56"/>
      <c r="F8" s="53">
        <v>0.440050547966295</v>
      </c>
      <c r="G8" s="46">
        <v>0.42800816831420835</v>
      </c>
      <c r="H8" s="46">
        <v>0.43520229482248823</v>
      </c>
      <c r="I8" s="44">
        <v>0.4260150357305848</v>
      </c>
      <c r="J8" s="45">
        <v>0.44368850999999998</v>
      </c>
      <c r="K8" s="45">
        <v>0.434096133</v>
      </c>
    </row>
    <row r="9" spans="2:11">
      <c r="B9" s="5" t="s">
        <v>4</v>
      </c>
      <c r="C9" s="50">
        <v>0.48782025625752629</v>
      </c>
      <c r="D9" s="56">
        <v>0.324070731</v>
      </c>
      <c r="E9" s="56"/>
      <c r="F9" s="53">
        <v>0.51360713239824829</v>
      </c>
      <c r="G9" s="46">
        <v>0.51991881116219907</v>
      </c>
      <c r="H9" s="46">
        <v>0.52217058165255636</v>
      </c>
      <c r="I9" s="44">
        <v>0.51938961532015981</v>
      </c>
      <c r="J9" s="45">
        <v>0.51994613000000001</v>
      </c>
      <c r="K9" s="45">
        <v>0.51815958399999995</v>
      </c>
    </row>
    <row r="10" spans="2:11">
      <c r="B10" s="5" t="s">
        <v>5</v>
      </c>
      <c r="C10" s="50">
        <v>0.52295169087459048</v>
      </c>
      <c r="D10" s="56">
        <v>0.397705788</v>
      </c>
      <c r="E10" s="56"/>
      <c r="F10" s="53">
        <v>0.6418624714578125</v>
      </c>
      <c r="G10" s="46">
        <v>0.63767722499275059</v>
      </c>
      <c r="H10" s="46">
        <v>0.63942517638810603</v>
      </c>
      <c r="I10" s="44">
        <v>0.62933099192598241</v>
      </c>
      <c r="J10" s="45">
        <v>0.64849654999999995</v>
      </c>
      <c r="K10" s="45">
        <v>0.642898423</v>
      </c>
    </row>
    <row r="11" spans="2:11">
      <c r="B11" s="5" t="s">
        <v>6</v>
      </c>
      <c r="C11" s="50">
        <v>0.36544650811281948</v>
      </c>
      <c r="D11" s="56">
        <v>0.184432129</v>
      </c>
      <c r="E11" s="56"/>
      <c r="F11" s="53">
        <v>0.30335457029720625</v>
      </c>
      <c r="G11" s="46">
        <v>0.31832367794635591</v>
      </c>
      <c r="H11" s="46">
        <v>0.3047488778522725</v>
      </c>
      <c r="I11" s="44">
        <v>0.31581794831892923</v>
      </c>
      <c r="J11" s="45">
        <v>0.30531786799999999</v>
      </c>
      <c r="K11" s="45">
        <v>0.31880282199999999</v>
      </c>
    </row>
    <row r="12" spans="2:11">
      <c r="B12" s="5" t="s">
        <v>7</v>
      </c>
      <c r="C12" s="50">
        <v>0.38352293822875039</v>
      </c>
      <c r="D12" s="56">
        <v>0.33107777900000002</v>
      </c>
      <c r="E12" s="56"/>
      <c r="F12" s="53">
        <v>0.55827759562725443</v>
      </c>
      <c r="G12" s="46">
        <v>0.53697189128041256</v>
      </c>
      <c r="H12" s="46">
        <v>0.55249467509894767</v>
      </c>
      <c r="I12" s="44">
        <v>0.53601411806677157</v>
      </c>
      <c r="J12" s="45">
        <v>0.49467475300000002</v>
      </c>
      <c r="K12" s="45">
        <v>0.54570070500000001</v>
      </c>
    </row>
    <row r="13" spans="2:11" ht="30" customHeight="1">
      <c r="B13" s="38" t="s">
        <v>8</v>
      </c>
      <c r="C13" s="51">
        <f t="shared" ref="C13:D13" si="0">AVERAGE(C8:C12)</f>
        <v>0.41186848119211861</v>
      </c>
      <c r="D13" s="57">
        <f t="shared" si="0"/>
        <v>0.29059244499999998</v>
      </c>
      <c r="E13" s="56"/>
      <c r="F13" s="54">
        <f t="shared" ref="F13:K13" si="1">AVERAGE(F8:F12)</f>
        <v>0.49143046354936332</v>
      </c>
      <c r="G13" s="48">
        <f t="shared" si="1"/>
        <v>0.4881799547391853</v>
      </c>
      <c r="H13" s="48">
        <f t="shared" si="1"/>
        <v>0.49080832116287415</v>
      </c>
      <c r="I13" s="47">
        <f t="shared" si="1"/>
        <v>0.48531354187248554</v>
      </c>
      <c r="J13" s="47">
        <f t="shared" si="1"/>
        <v>0.48242476219999997</v>
      </c>
      <c r="K13" s="47">
        <f t="shared" si="1"/>
        <v>0.49193153340000001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F1A6-17CB-4F5E-8A81-EEB9AEA80637}">
  <dimension ref="B3:J11"/>
  <sheetViews>
    <sheetView workbookViewId="0">
      <selection activeCell="F18" sqref="F18"/>
    </sheetView>
  </sheetViews>
  <sheetFormatPr defaultRowHeight="13.8"/>
  <sheetData>
    <row r="3" spans="2:10" ht="21">
      <c r="B3" s="5"/>
      <c r="C3" s="73" t="s">
        <v>12</v>
      </c>
      <c r="D3" s="74"/>
      <c r="E3" s="74"/>
      <c r="F3" s="74"/>
      <c r="G3" s="74"/>
      <c r="H3" s="74"/>
      <c r="I3" s="74"/>
      <c r="J3" s="75"/>
    </row>
    <row r="4" spans="2:10">
      <c r="B4" s="7" t="s">
        <v>1</v>
      </c>
      <c r="C4" s="7" t="s">
        <v>2</v>
      </c>
      <c r="D4" s="76" t="s">
        <v>10</v>
      </c>
      <c r="E4" s="77"/>
      <c r="F4" s="77"/>
      <c r="G4" s="78"/>
      <c r="H4" s="76" t="s">
        <v>11</v>
      </c>
      <c r="I4" s="79"/>
      <c r="J4" s="80"/>
    </row>
    <row r="5" spans="2:10">
      <c r="B5" s="6" t="s">
        <v>9</v>
      </c>
      <c r="C5" s="6"/>
      <c r="D5" s="6">
        <v>1</v>
      </c>
      <c r="E5" s="6">
        <v>2</v>
      </c>
      <c r="F5" s="6">
        <v>3</v>
      </c>
      <c r="G5" s="6">
        <v>4</v>
      </c>
      <c r="H5" s="6">
        <v>1</v>
      </c>
      <c r="I5" s="6">
        <v>4</v>
      </c>
      <c r="J5" s="6">
        <v>7</v>
      </c>
    </row>
    <row r="6" spans="2:10">
      <c r="B6" s="5" t="s">
        <v>3</v>
      </c>
      <c r="C6" s="24"/>
      <c r="D6" s="25">
        <v>2.257754E-2</v>
      </c>
      <c r="E6" s="25"/>
      <c r="F6" s="25"/>
      <c r="G6" s="24"/>
      <c r="H6" s="25"/>
      <c r="I6" s="24"/>
      <c r="J6" s="24">
        <v>1.9694672999999999E-2</v>
      </c>
    </row>
    <row r="7" spans="2:10">
      <c r="B7" s="5" t="s">
        <v>4</v>
      </c>
      <c r="C7" s="24"/>
      <c r="D7" s="25">
        <v>2.6907562999999999E-2</v>
      </c>
      <c r="E7" s="25"/>
      <c r="F7" s="25"/>
      <c r="G7" s="24"/>
      <c r="H7" s="25"/>
      <c r="I7" s="24"/>
      <c r="J7" s="24">
        <v>3.1896283999999997E-2</v>
      </c>
    </row>
    <row r="8" spans="2:10">
      <c r="B8" s="5" t="s">
        <v>5</v>
      </c>
      <c r="C8" s="26"/>
      <c r="D8" s="25">
        <v>9.9164793000000001E-2</v>
      </c>
      <c r="E8" s="25"/>
      <c r="F8" s="25"/>
      <c r="G8" s="24"/>
      <c r="H8" s="25"/>
      <c r="I8" s="24"/>
      <c r="J8" s="26">
        <v>8.6711712999999996E-2</v>
      </c>
    </row>
    <row r="9" spans="2:10">
      <c r="B9" s="5" t="s">
        <v>6</v>
      </c>
      <c r="C9" s="24"/>
      <c r="D9" s="25">
        <v>1.1388580000000001E-2</v>
      </c>
      <c r="E9" s="25"/>
      <c r="F9" s="25"/>
      <c r="G9" s="24"/>
      <c r="H9" s="25"/>
      <c r="I9" s="24"/>
      <c r="J9" s="24">
        <v>1.2759491E-2</v>
      </c>
    </row>
    <row r="10" spans="2:10">
      <c r="B10" s="5" t="s">
        <v>7</v>
      </c>
      <c r="C10" s="26"/>
      <c r="D10" s="25">
        <v>6.2287206999999997E-2</v>
      </c>
      <c r="E10" s="25"/>
      <c r="F10" s="25"/>
      <c r="G10" s="24"/>
      <c r="H10" s="25"/>
      <c r="I10" s="24"/>
      <c r="J10" s="26">
        <v>4.0309307000000003E-2</v>
      </c>
    </row>
    <row r="11" spans="2:10">
      <c r="B11" s="8" t="s">
        <v>8</v>
      </c>
      <c r="C11" s="27" t="e">
        <f t="shared" ref="C11:J11" si="0">AVERAGE(C6:C10)</f>
        <v>#DIV/0!</v>
      </c>
      <c r="D11" s="28">
        <f t="shared" si="0"/>
        <v>4.4465136599999996E-2</v>
      </c>
      <c r="E11" s="28" t="e">
        <f t="shared" si="0"/>
        <v>#DIV/0!</v>
      </c>
      <c r="F11" s="28" t="e">
        <f t="shared" si="0"/>
        <v>#DIV/0!</v>
      </c>
      <c r="G11" s="27" t="e">
        <f t="shared" si="0"/>
        <v>#DIV/0!</v>
      </c>
      <c r="H11" s="28" t="e">
        <f t="shared" si="0"/>
        <v>#DIV/0!</v>
      </c>
      <c r="I11" s="27" t="e">
        <f t="shared" si="0"/>
        <v>#DIV/0!</v>
      </c>
      <c r="J11" s="29">
        <f t="shared" si="0"/>
        <v>3.8274293599999995E-2</v>
      </c>
    </row>
  </sheetData>
  <mergeCells count="3">
    <mergeCell ref="C3:J3"/>
    <mergeCell ref="D4:G4"/>
    <mergeCell ref="H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4E0C-2F62-48EE-AC18-73073529A3D7}">
  <dimension ref="C5:O39"/>
  <sheetViews>
    <sheetView topLeftCell="A24" workbookViewId="0">
      <selection activeCell="O45" sqref="O45"/>
    </sheetView>
  </sheetViews>
  <sheetFormatPr defaultRowHeight="13.8"/>
  <cols>
    <col min="3" max="3" width="15.296875" customWidth="1"/>
    <col min="4" max="11" width="6.69921875" customWidth="1"/>
  </cols>
  <sheetData>
    <row r="5" spans="3:11">
      <c r="C5" s="82" t="s">
        <v>73</v>
      </c>
      <c r="D5" s="82"/>
      <c r="E5" s="82"/>
      <c r="F5" s="82"/>
      <c r="G5" s="82"/>
      <c r="H5" s="82"/>
      <c r="I5" s="82"/>
      <c r="J5" s="82"/>
      <c r="K5" s="82"/>
    </row>
    <row r="6" spans="3:11">
      <c r="C6" t="s">
        <v>63</v>
      </c>
      <c r="D6" s="83" t="s">
        <v>64</v>
      </c>
      <c r="E6" s="83"/>
      <c r="F6" s="83"/>
      <c r="G6" s="83"/>
    </row>
    <row r="7" spans="3:11">
      <c r="C7" t="s">
        <v>67</v>
      </c>
      <c r="D7" s="83" t="s">
        <v>2</v>
      </c>
      <c r="E7" s="83"/>
      <c r="F7" s="83" t="s">
        <v>68</v>
      </c>
      <c r="G7" s="83"/>
    </row>
    <row r="8" spans="3:11">
      <c r="C8" t="s">
        <v>69</v>
      </c>
      <c r="D8">
        <v>0</v>
      </c>
      <c r="E8">
        <v>64</v>
      </c>
      <c r="F8">
        <v>0</v>
      </c>
      <c r="G8">
        <v>64</v>
      </c>
    </row>
    <row r="9" spans="3:11">
      <c r="C9" t="s">
        <v>70</v>
      </c>
      <c r="D9" t="s">
        <v>71</v>
      </c>
      <c r="E9" t="s">
        <v>72</v>
      </c>
      <c r="F9" t="s">
        <v>71</v>
      </c>
      <c r="G9" t="s">
        <v>72</v>
      </c>
    </row>
    <row r="10" spans="3:11">
      <c r="C10" t="s">
        <v>3</v>
      </c>
      <c r="D10" s="68">
        <v>0.29960101248690674</v>
      </c>
      <c r="E10" t="s">
        <v>74</v>
      </c>
      <c r="F10" s="62">
        <v>0.434096133</v>
      </c>
      <c r="G10" t="s">
        <v>74</v>
      </c>
    </row>
    <row r="11" spans="3:11" ht="15.6" customHeight="1">
      <c r="C11" t="s">
        <v>4</v>
      </c>
      <c r="D11" s="68">
        <v>0.48782025625752629</v>
      </c>
      <c r="E11" t="s">
        <v>74</v>
      </c>
      <c r="F11" s="62">
        <v>0.51815958399999995</v>
      </c>
      <c r="G11" t="s">
        <v>74</v>
      </c>
    </row>
    <row r="12" spans="3:11">
      <c r="C12" t="s">
        <v>5</v>
      </c>
      <c r="D12" s="68">
        <v>0.52295169087459048</v>
      </c>
      <c r="E12" t="s">
        <v>74</v>
      </c>
      <c r="F12" s="62">
        <v>0.642898423</v>
      </c>
      <c r="G12" t="s">
        <v>74</v>
      </c>
    </row>
    <row r="13" spans="3:11">
      <c r="C13" t="s">
        <v>6</v>
      </c>
      <c r="D13" s="68">
        <v>0.36544650811281948</v>
      </c>
      <c r="E13" t="s">
        <v>74</v>
      </c>
      <c r="F13" s="62">
        <v>0.31880282199999999</v>
      </c>
      <c r="G13" t="s">
        <v>74</v>
      </c>
    </row>
    <row r="14" spans="3:11">
      <c r="C14" t="s">
        <v>7</v>
      </c>
      <c r="D14" s="68">
        <v>0.38352293822875039</v>
      </c>
      <c r="E14" t="s">
        <v>74</v>
      </c>
      <c r="F14" s="62">
        <v>0.54570070500000001</v>
      </c>
      <c r="G14" t="s">
        <v>74</v>
      </c>
    </row>
    <row r="15" spans="3:11">
      <c r="C15" t="s">
        <v>46</v>
      </c>
      <c r="D15" s="69">
        <f t="shared" ref="D15" si="0">AVERAGE(D10:D14)</f>
        <v>0.41186848119211861</v>
      </c>
      <c r="E15" t="s">
        <v>74</v>
      </c>
      <c r="F15" s="65">
        <f>AVERAGE(F10:F14)</f>
        <v>0.49193153340000001</v>
      </c>
      <c r="G15" t="s">
        <v>74</v>
      </c>
    </row>
    <row r="29" spans="3:15">
      <c r="C29" s="84" t="s">
        <v>62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</row>
    <row r="30" spans="3:15">
      <c r="C30" s="85" t="s">
        <v>63</v>
      </c>
      <c r="D30" s="84" t="s">
        <v>64</v>
      </c>
      <c r="E30" s="84"/>
      <c r="F30" s="84"/>
      <c r="G30" s="84"/>
      <c r="H30" s="84" t="s">
        <v>65</v>
      </c>
      <c r="I30" s="84"/>
      <c r="J30" s="84"/>
      <c r="K30" s="84"/>
      <c r="L30" s="84" t="s">
        <v>66</v>
      </c>
      <c r="M30" s="84"/>
      <c r="N30" s="84"/>
      <c r="O30" s="84"/>
    </row>
    <row r="31" spans="3:15">
      <c r="C31" s="85" t="s">
        <v>67</v>
      </c>
      <c r="D31" s="86" t="s">
        <v>2</v>
      </c>
      <c r="E31" s="86"/>
      <c r="F31" s="86" t="s">
        <v>68</v>
      </c>
      <c r="G31" s="86"/>
      <c r="H31" s="84" t="s">
        <v>2</v>
      </c>
      <c r="I31" s="84"/>
      <c r="J31" s="84" t="s">
        <v>68</v>
      </c>
      <c r="K31" s="84"/>
      <c r="L31" s="84" t="s">
        <v>2</v>
      </c>
      <c r="M31" s="84"/>
      <c r="N31" s="84" t="s">
        <v>68</v>
      </c>
      <c r="O31" s="84"/>
    </row>
    <row r="32" spans="3:15">
      <c r="C32" s="85" t="s">
        <v>69</v>
      </c>
      <c r="D32" s="86" t="s">
        <v>48</v>
      </c>
      <c r="E32" s="86"/>
      <c r="F32" s="86" t="s">
        <v>57</v>
      </c>
      <c r="G32" s="86"/>
      <c r="H32" s="85" t="s">
        <v>48</v>
      </c>
      <c r="I32" s="85"/>
      <c r="J32" s="85"/>
      <c r="K32" s="85" t="s">
        <v>58</v>
      </c>
      <c r="L32" s="85" t="s">
        <v>53</v>
      </c>
      <c r="M32" s="85"/>
      <c r="N32" s="85"/>
      <c r="O32" s="85"/>
    </row>
    <row r="33" spans="3:15">
      <c r="C33" s="85" t="s">
        <v>70</v>
      </c>
      <c r="D33" s="85" t="s">
        <v>71</v>
      </c>
      <c r="E33" s="85" t="s">
        <v>72</v>
      </c>
      <c r="F33" s="85" t="s">
        <v>71</v>
      </c>
      <c r="G33" s="85" t="s">
        <v>72</v>
      </c>
      <c r="H33" s="85"/>
      <c r="I33" s="85" t="s">
        <v>72</v>
      </c>
      <c r="J33" s="85" t="s">
        <v>71</v>
      </c>
      <c r="K33" s="85" t="s">
        <v>72</v>
      </c>
      <c r="L33" s="85" t="s">
        <v>71</v>
      </c>
      <c r="M33" s="85" t="s">
        <v>72</v>
      </c>
      <c r="N33" s="85" t="s">
        <v>71</v>
      </c>
      <c r="O33" s="85" t="s">
        <v>72</v>
      </c>
    </row>
    <row r="34" spans="3:15">
      <c r="C34" s="85" t="s">
        <v>3</v>
      </c>
      <c r="D34" s="87">
        <v>0.34325988200000002</v>
      </c>
      <c r="E34" s="87">
        <v>4.2820744000000001E-2</v>
      </c>
      <c r="F34" s="87">
        <v>0.38648347721991499</v>
      </c>
      <c r="G34" s="87">
        <v>5.0304594449151502E-2</v>
      </c>
      <c r="H34" s="88">
        <v>0.28690741760871402</v>
      </c>
      <c r="I34" s="87">
        <v>5.9900000000000002E-2</v>
      </c>
      <c r="J34" s="87">
        <v>0.40524875857669401</v>
      </c>
      <c r="K34" s="87">
        <v>5.43399861229166E-2</v>
      </c>
      <c r="L34" s="88">
        <v>0.28690741760871402</v>
      </c>
      <c r="M34" s="89">
        <v>3.1734790542710202E-2</v>
      </c>
      <c r="N34" s="90">
        <v>0</v>
      </c>
      <c r="O34" s="90">
        <v>0</v>
      </c>
    </row>
    <row r="35" spans="3:15">
      <c r="C35" s="85" t="s">
        <v>4</v>
      </c>
      <c r="D35" s="87">
        <v>0.497969043</v>
      </c>
      <c r="E35" s="87">
        <v>7.3807260999999999E-2</v>
      </c>
      <c r="F35" s="87">
        <v>0.50989138213775098</v>
      </c>
      <c r="G35" s="87">
        <v>6.5665723480432495E-2</v>
      </c>
      <c r="H35" s="88">
        <v>0.40888285869561197</v>
      </c>
      <c r="I35" s="87">
        <v>9.2999999999999999E-2</v>
      </c>
      <c r="J35" s="87">
        <v>0.52775885648945098</v>
      </c>
      <c r="K35" s="87">
        <v>8.4857591101279106E-2</v>
      </c>
      <c r="L35" s="88">
        <v>0.40888285869561197</v>
      </c>
      <c r="M35" s="89">
        <v>7.4275663355559504E-2</v>
      </c>
      <c r="N35" s="90">
        <v>0</v>
      </c>
      <c r="O35" s="90">
        <v>0</v>
      </c>
    </row>
    <row r="36" spans="3:15">
      <c r="C36" s="85" t="s">
        <v>5</v>
      </c>
      <c r="D36" s="87">
        <v>0.57320343600000001</v>
      </c>
      <c r="E36" s="87">
        <v>0.15788672600000001</v>
      </c>
      <c r="F36" s="87">
        <v>0.60845584922915397</v>
      </c>
      <c r="G36" s="87">
        <v>0.18082925178859699</v>
      </c>
      <c r="H36" s="88">
        <v>0.460139707582712</v>
      </c>
      <c r="I36" s="87">
        <v>0.151</v>
      </c>
      <c r="J36" s="87">
        <v>0.60916746088210905</v>
      </c>
      <c r="K36" s="87">
        <v>0.17026732083613799</v>
      </c>
      <c r="L36" s="88">
        <v>0.460139707582712</v>
      </c>
      <c r="M36" s="89">
        <v>0.104257965348204</v>
      </c>
      <c r="N36" s="90">
        <v>0</v>
      </c>
      <c r="O36" s="90">
        <v>0</v>
      </c>
    </row>
    <row r="37" spans="3:15">
      <c r="C37" s="85" t="s">
        <v>6</v>
      </c>
      <c r="D37" s="87">
        <v>0.33479921699999998</v>
      </c>
      <c r="E37" s="87">
        <v>3.4055057E-2</v>
      </c>
      <c r="F37" s="87">
        <v>0.31620628451561</v>
      </c>
      <c r="G37" s="87">
        <v>2.9569832513109399E-2</v>
      </c>
      <c r="H37" s="88">
        <v>0.279025405860095</v>
      </c>
      <c r="I37" s="87">
        <v>2.8899999999999999E-2</v>
      </c>
      <c r="J37" s="87">
        <v>0.33006072115505602</v>
      </c>
      <c r="K37" s="87">
        <v>4.2772681155411302E-2</v>
      </c>
      <c r="L37" s="88">
        <v>0.279025405860095</v>
      </c>
      <c r="M37" s="89">
        <v>3.5526704822912099E-2</v>
      </c>
      <c r="N37" s="90">
        <v>0</v>
      </c>
      <c r="O37" s="90">
        <v>0</v>
      </c>
    </row>
    <row r="38" spans="3:15">
      <c r="C38" s="85" t="s">
        <v>7</v>
      </c>
      <c r="D38" s="87">
        <v>0.45220607200000001</v>
      </c>
      <c r="E38" s="87">
        <v>6.5616483000000003E-2</v>
      </c>
      <c r="F38" s="87">
        <v>0.499110115849625</v>
      </c>
      <c r="G38" s="87">
        <v>8.7374883331797396E-2</v>
      </c>
      <c r="H38" s="88">
        <v>0.28424473442673598</v>
      </c>
      <c r="I38" s="87">
        <v>6.9199999999999998E-2</v>
      </c>
      <c r="J38" s="87">
        <v>0.52574249764417802</v>
      </c>
      <c r="K38" s="87">
        <v>8.0892692839954705E-2</v>
      </c>
      <c r="L38" s="88">
        <v>0.28424473442673598</v>
      </c>
      <c r="M38" s="89">
        <v>3.9867348991240503E-2</v>
      </c>
      <c r="N38" s="90">
        <v>0</v>
      </c>
      <c r="O38" s="90">
        <v>0</v>
      </c>
    </row>
    <row r="39" spans="3:15">
      <c r="C39" s="85" t="s">
        <v>46</v>
      </c>
      <c r="D39" s="91">
        <f t="shared" ref="D39" si="1">AVERAGE(D34:D38)</f>
        <v>0.44028752999999998</v>
      </c>
      <c r="E39" s="91">
        <f t="shared" ref="E39" si="2">AVERAGE(E34:E38)</f>
        <v>7.4837254200000008E-2</v>
      </c>
      <c r="F39" s="92">
        <f>AVERAGE(F34:F38)</f>
        <v>0.46402942179041096</v>
      </c>
      <c r="G39" s="92">
        <f t="shared" ref="G39:H39" si="3">AVERAGE(G34:G38)</f>
        <v>8.2748857112617563E-2</v>
      </c>
      <c r="H39" s="91">
        <f>AVERAGE(H34:H38)</f>
        <v>0.34384002483477383</v>
      </c>
      <c r="I39" s="91">
        <f>AVERAGE(I34:I38)</f>
        <v>8.0399999999999999E-2</v>
      </c>
      <c r="J39" s="85">
        <v>0.46</v>
      </c>
      <c r="K39" s="91">
        <f>AVERAGE(K34:K38)</f>
        <v>8.6626054411139949E-2</v>
      </c>
      <c r="L39" s="91">
        <f>AVERAGE(L34:L38)</f>
        <v>0.34384002483477383</v>
      </c>
      <c r="M39" s="91">
        <f t="shared" ref="M39" si="4">AVERAGE(M34:M38)</f>
        <v>5.7132494612125259E-2</v>
      </c>
      <c r="N39" s="90">
        <v>0</v>
      </c>
      <c r="O39" s="90">
        <v>0</v>
      </c>
    </row>
  </sheetData>
  <mergeCells count="16">
    <mergeCell ref="C5:K5"/>
    <mergeCell ref="D6:G6"/>
    <mergeCell ref="D7:E7"/>
    <mergeCell ref="F7:G7"/>
    <mergeCell ref="L31:M31"/>
    <mergeCell ref="N31:O31"/>
    <mergeCell ref="H30:K30"/>
    <mergeCell ref="L30:O30"/>
    <mergeCell ref="C29:O29"/>
    <mergeCell ref="D32:E32"/>
    <mergeCell ref="D31:E31"/>
    <mergeCell ref="F31:G31"/>
    <mergeCell ref="D30:G30"/>
    <mergeCell ref="F32:G32"/>
    <mergeCell ref="H31:I31"/>
    <mergeCell ref="J31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F-score</vt:lpstr>
      <vt:lpstr>ddn F-score</vt:lpstr>
      <vt:lpstr>pidiet</vt:lpstr>
      <vt:lpstr>rcf</vt:lpstr>
      <vt:lpstr>ddn</vt:lpstr>
      <vt:lpstr>F-score-64</vt:lpstr>
      <vt:lpstr>PQ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Корректура</cp:lastModifiedBy>
  <dcterms:modified xsi:type="dcterms:W3CDTF">2026-09-30T13:36:06Z</dcterms:modified>
</cp:coreProperties>
</file>